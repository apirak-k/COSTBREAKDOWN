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MASTER_RATES" state="visible" r:id="rId4"/>
    <sheet sheetId="2" name="2_BOM_BREAKDOWN" state="visible" r:id="rId5"/>
    <sheet sheetId="3" name="3_ROUTING_BREAKDOWN" state="visible" r:id="rId6"/>
    <sheet sheetId="4" name="4_SUMMARY_&amp;_COMPARISON" state="visible" r:id="rId7"/>
  </sheets>
  <calcPr calcId="171027"/>
</workbook>
</file>

<file path=xl/sharedStrings.xml><?xml version="1.0" encoding="utf-8"?>
<sst xmlns="http://schemas.openxmlformats.org/spreadsheetml/2006/main" count="172" uniqueCount="128">
  <si>
    <t>1. PRODUCT MASTER &amp; WORK CENTER RATES (SYNTHETIC MOCK)</t>
  </si>
  <si>
    <t>SECTION A: PRODUCT MASTER</t>
  </si>
  <si>
    <t>Product Code</t>
  </si>
  <si>
    <t>Product Description</t>
  </si>
  <si>
    <t>UOM</t>
  </si>
  <si>
    <t>Customer / Application</t>
  </si>
  <si>
    <t>Effective Date</t>
  </si>
  <si>
    <t>MOCK-DEMO-001</t>
  </si>
  <si>
    <t>SYNTHETIC SAMPLE ASSEMBLY (DEMO &amp; TEST SUITE)</t>
  </si>
  <si>
    <t>PC</t>
  </si>
  <si>
    <t>BENCHMARK TEST</t>
  </si>
  <si>
    <t>2026-01-01</t>
  </si>
  <si>
    <t>SECTION B: WORK CENTER RATES (4 DEPARTMENTS)</t>
  </si>
  <si>
    <t>Department (WC Name)</t>
  </si>
  <si>
    <t>Line / Department Description</t>
  </si>
  <si>
    <t>Labor Rate (THB/MHr)</t>
  </si>
  <si>
    <t>Burden Rate (THB/MHr)</t>
  </si>
  <si>
    <t>Source Reference</t>
  </si>
  <si>
    <t>WC-FABRICATION</t>
  </si>
  <si>
    <t>Raw Material Prep &amp; Stamping</t>
  </si>
  <si>
    <t>Ref-Std-Rate-2026</t>
  </si>
  <si>
    <t>WC-PRINTING</t>
  </si>
  <si>
    <t>Precision Cleanroom Screen Printing</t>
  </si>
  <si>
    <t>WC-ASSEMBLY</t>
  </si>
  <si>
    <t>Automated SMT &amp; Module Assembly</t>
  </si>
  <si>
    <t>WC-QA-PACK</t>
  </si>
  <si>
    <t>Final Automated QA Inspection &amp; Packaging</t>
  </si>
  <si>
    <t>2. DIRECT MATERIAL BREAKDOWN (BOM)</t>
  </si>
  <si>
    <t>TABLE 1: BOM INPUT PARAMETERS (10 ITEMS)</t>
  </si>
  <si>
    <t>No</t>
  </si>
  <si>
    <t>Item Code</t>
  </si>
  <si>
    <t>Material Description</t>
  </si>
  <si>
    <t>Usage (Q)</t>
  </si>
  <si>
    <t>Unit</t>
  </si>
  <si>
    <t>Base Price P0</t>
  </si>
  <si>
    <t>Active Price P1</t>
  </si>
  <si>
    <t>Base Loss L0</t>
  </si>
  <si>
    <t>Active Loss L1</t>
  </si>
  <si>
    <t>MAT-FILM-01</t>
  </si>
  <si>
    <t>PET Optical Substrate Film (0.5m x 500m)</t>
  </si>
  <si>
    <t>SM</t>
  </si>
  <si>
    <t>Loss Spike (+10%)</t>
  </si>
  <si>
    <t>MAT-PASTE-02</t>
  </si>
  <si>
    <t>Conductive Silver Paste Type-A</t>
  </si>
  <si>
    <t>GM</t>
  </si>
  <si>
    <t>Commodity Inflation (+25 THB/g)</t>
  </si>
  <si>
    <t>MAT-INK-03</t>
  </si>
  <si>
    <t>Dielectric Carbon Conductive Ink</t>
  </si>
  <si>
    <t>Vendor Discount (-3 THB/g)</t>
  </si>
  <si>
    <t>MAT-TAPE-04</t>
  </si>
  <si>
    <t>Double-Sided Acrylic Spacer Tape</t>
  </si>
  <si>
    <t>Standard Contract</t>
  </si>
  <si>
    <t>MAT-LABEL-05</t>
  </si>
  <si>
    <t>QR Code Serialized Polyimide Label</t>
  </si>
  <si>
    <t>Minor Price Increase</t>
  </si>
  <si>
    <t>MAT-SOLVENT-06</t>
  </si>
  <si>
    <t>Industrial Degreaser &amp; Thinner</t>
  </si>
  <si>
    <t>Standard Chemical</t>
  </si>
  <si>
    <t>MAT-CONN-07</t>
  </si>
  <si>
    <t>FPC Flexible Tail Header Connector</t>
  </si>
  <si>
    <t>Supplier Price Update</t>
  </si>
  <si>
    <t>MAT-RESIN-08</t>
  </si>
  <si>
    <t>UV Curable Hardcoat Protection Resin</t>
  </si>
  <si>
    <t>MAT-LINER-09</t>
  </si>
  <si>
    <t>PE Protective Masking Film Liner</t>
  </si>
  <si>
    <t>Handling Scrap</t>
  </si>
  <si>
    <t>MAT-PACK-10</t>
  </si>
  <si>
    <t>Anti-Static Tray &amp; Outer Shipping Carton</t>
  </si>
  <si>
    <t>SET</t>
  </si>
  <si>
    <t>Standard Packaging</t>
  </si>
  <si>
    <t>TABLE 2: BOM CALCULATION ENGINE &amp; LEVEL 3 VARIANCE</t>
  </si>
  <si>
    <t>Base Cost P0</t>
  </si>
  <si>
    <t>Active Cost P1</t>
  </si>
  <si>
    <t>Total Variance</t>
  </si>
  <si>
    <t>Price Var (MPV)</t>
  </si>
  <si>
    <t>Loss Var (MLV)</t>
  </si>
  <si>
    <t>% Contrib</t>
  </si>
  <si>
    <t>Traceability</t>
  </si>
  <si>
    <t>TOTAL DIRECT MATERIAL COST (C_M)</t>
  </si>
  <si>
    <t>3. CONVERSION PROCESS ROUTING BREAKDOWN</t>
  </si>
  <si>
    <t>TABLE 1: ROUTING PROCESS INPUT (15 STEPS)</t>
  </si>
  <si>
    <t>Op Seq</t>
  </si>
  <si>
    <t>Operation Description</t>
  </si>
  <si>
    <t>Department (WC)</t>
  </si>
  <si>
    <t>Manning</t>
  </si>
  <si>
    <t>Base Cap (pc/hr)</t>
  </si>
  <si>
    <t>Active Cap (pc/hr)</t>
  </si>
  <si>
    <t>Base Yield</t>
  </si>
  <si>
    <t>Active Yield</t>
  </si>
  <si>
    <t>Raw Sheet Precision Cutting</t>
  </si>
  <si>
    <t>Standard Process</t>
  </si>
  <si>
    <t>Thermal Pre-Shrink Annealing</t>
  </si>
  <si>
    <t>Cleanroom Sheet Dust Removal</t>
  </si>
  <si>
    <t>Silver Conductor Circuit Printing</t>
  </si>
  <si>
    <t>Machine Speed Drop (-33%)</t>
  </si>
  <si>
    <t>IR Oven Tunnel Curing #1</t>
  </si>
  <si>
    <t>Carbon Resistor Jumper Printing</t>
  </si>
  <si>
    <t>Dielectric Insulation Overcoat</t>
  </si>
  <si>
    <t>Multi-Layer Membrane Lamination</t>
  </si>
  <si>
    <t>High-Speed Perimeter Die Punching</t>
  </si>
  <si>
    <t>Auto Optical Defect Inspection (AOI)</t>
  </si>
  <si>
    <t>Severe Yield Drop (90% -&gt; 70%)</t>
  </si>
  <si>
    <t>SMT Component Pick &amp; Place</t>
  </si>
  <si>
    <t>Feeder Jam Bottleneck</t>
  </si>
  <si>
    <t>Hot-Bar Soldering &amp; UV Curing</t>
  </si>
  <si>
    <t>Functional Electrical Continuity Test</t>
  </si>
  <si>
    <t>Contact Defect Yield Drop</t>
  </si>
  <si>
    <t>Visual Cosmetic Inspection</t>
  </si>
  <si>
    <t>Final Barcode Scan &amp; Master Packaging</t>
  </si>
  <si>
    <t>TABLE 2: CONVERSION COST ENGINE (LABOR &amp; BURDEN PER UNIT)</t>
  </si>
  <si>
    <t>Department</t>
  </si>
  <si>
    <t>Base Labor</t>
  </si>
  <si>
    <t>Active Labor</t>
  </si>
  <si>
    <t>Base Burden</t>
  </si>
  <si>
    <t>Active Burden</t>
  </si>
  <si>
    <t>Total Conv Base</t>
  </si>
  <si>
    <t>Total Conv Active</t>
  </si>
  <si>
    <t>Net Variance</t>
  </si>
  <si>
    <t>TOTAL CONVERSION COST (C_L + C_B)</t>
  </si>
  <si>
    <t>4. EXECUTIVE COST SUMMARY &amp; TOP 10 DRIVERS</t>
  </si>
  <si>
    <t>Cost Element</t>
  </si>
  <si>
    <t>Baseline Std Cost</t>
  </si>
  <si>
    <t>Active Std Cost</t>
  </si>
  <si>
    <t>% Change</t>
  </si>
  <si>
    <t>Direct Material (C_M)</t>
  </si>
  <si>
    <t>Direct Labor (C_L)</t>
  </si>
  <si>
    <t>Manufacturing Burden (C_B)</t>
  </si>
  <si>
    <t>TOTAL STANDARD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</si>
</sst>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#,##0.0000"/>
    <numFmt numFmtId="166" formatCode="0.0%"/>
    <numFmt numFmtId="167" formatCode="0.0"/>
  </numFmts>
  <fonts count="6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b/>
      <color rgb="FF1E293B"/>
      <sz val="13"/>
      <name val="Calibri"/>
    </font>
    <font>
      <b/>
      <color rgb="FFFFFFFF"/>
      <sz val="11"/>
      <name val="Calibri"/>
    </font>
    <font>
      <b/>
      <color rgb="FF0F172A"/>
      <sz val="11"/>
      <name val="Calibri"/>
    </font>
    <font>
      <color rgb="FF0F172A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E293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/>
    <xf numFmtId="4" fontId="5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0" fontId="5" fillId="0" borderId="1" xfId="0" applyNumberFormat="1" applyFont="1" applyBorder="1"/>
    <xf numFmtId="0" fontId="4" fillId="4" borderId="2" xfId="0" applyFont="1" applyFill="1" applyBorder="1"/>
    <xf numFmtId="165" fontId="4" fillId="4" borderId="2" xfId="0" applyNumberFormat="1" applyFont="1" applyFill="1" applyBorder="1"/>
    <xf numFmtId="167" fontId="5" fillId="3" borderId="1" xfId="0" applyNumberFormat="1" applyFont="1" applyFill="1" applyBorder="1"/>
    <xf numFmtId="3" fontId="5" fillId="3" borderId="1" xfId="0" applyNumberFormat="1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10" fontId="5" fillId="5" borderId="1" xfId="0" applyNumberFormat="1" applyFont="1" applyFill="1" applyBorder="1"/>
    <xf numFmtId="10" fontId="4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28" customWidth="1"/>
    <col min="2" max="2" width="38" customWidth="1"/>
    <col min="3" max="4" width="18" customWidth="1"/>
    <col min="5" max="5" width="28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7" spans="1:1" x14ac:dyDescent="0.25">
      <c r="A7" s="2" t="s">
        <v>12</v>
      </c>
    </row>
    <row r="8" spans="1:5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</row>
    <row r="9" spans="1:5" x14ac:dyDescent="0.25">
      <c r="A9" s="4" t="s">
        <v>18</v>
      </c>
      <c r="B9" s="5" t="s">
        <v>19</v>
      </c>
      <c r="C9" s="6">
        <v>110</v>
      </c>
      <c r="D9" s="6">
        <v>140</v>
      </c>
      <c r="E9" s="5" t="s">
        <v>20</v>
      </c>
    </row>
    <row r="10" spans="1:5" x14ac:dyDescent="0.25">
      <c r="A10" s="4" t="s">
        <v>21</v>
      </c>
      <c r="B10" s="5" t="s">
        <v>22</v>
      </c>
      <c r="C10" s="6">
        <v>105</v>
      </c>
      <c r="D10" s="6">
        <v>100</v>
      </c>
      <c r="E10" s="5" t="s">
        <v>20</v>
      </c>
    </row>
    <row r="11" spans="1:5" x14ac:dyDescent="0.25">
      <c r="A11" s="4" t="s">
        <v>23</v>
      </c>
      <c r="B11" s="5" t="s">
        <v>24</v>
      </c>
      <c r="C11" s="6">
        <v>105</v>
      </c>
      <c r="D11" s="6">
        <v>90</v>
      </c>
      <c r="E11" s="5" t="s">
        <v>20</v>
      </c>
    </row>
    <row r="12" spans="1:5" x14ac:dyDescent="0.25">
      <c r="A12" s="4" t="s">
        <v>25</v>
      </c>
      <c r="B12" s="5" t="s">
        <v>26</v>
      </c>
      <c r="C12" s="6">
        <v>100</v>
      </c>
      <c r="D12" s="6">
        <v>80</v>
      </c>
      <c r="E12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36" customWidth="1"/>
    <col min="4" max="4" width="14" customWidth="1"/>
    <col min="5" max="5" width="8" customWidth="1"/>
    <col min="6" max="7" width="14" customWidth="1"/>
    <col min="8" max="9" width="13" customWidth="1"/>
    <col min="10" max="10" width="28" customWidth="1"/>
  </cols>
  <sheetData>
    <row r="1" spans="1:1" x14ac:dyDescent="0.25">
      <c r="A1" s="1" t="s">
        <v>27</v>
      </c>
    </row>
    <row r="3" spans="1:1" x14ac:dyDescent="0.25">
      <c r="A3" s="2" t="s">
        <v>28</v>
      </c>
    </row>
    <row r="4" spans="1:10" x14ac:dyDescent="0.2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17</v>
      </c>
    </row>
    <row r="5" spans="1:10" x14ac:dyDescent="0.25">
      <c r="A5" s="5">
        <v>1</v>
      </c>
      <c r="B5" s="5" t="s">
        <v>38</v>
      </c>
      <c r="C5" s="5" t="s">
        <v>39</v>
      </c>
      <c r="D5" s="7">
        <v>0.025</v>
      </c>
      <c r="E5" s="5" t="s">
        <v>40</v>
      </c>
      <c r="F5" s="8">
        <v>50</v>
      </c>
      <c r="G5" s="8">
        <v>50</v>
      </c>
      <c r="H5" s="9">
        <v>0.15</v>
      </c>
      <c r="I5" s="9">
        <v>0.25</v>
      </c>
      <c r="J5" s="5" t="s">
        <v>41</v>
      </c>
    </row>
    <row r="6" spans="1:10" x14ac:dyDescent="0.25">
      <c r="A6" s="5">
        <v>2</v>
      </c>
      <c r="B6" s="5" t="s">
        <v>42</v>
      </c>
      <c r="C6" s="5" t="s">
        <v>43</v>
      </c>
      <c r="D6" s="7">
        <v>0.2</v>
      </c>
      <c r="E6" s="5" t="s">
        <v>44</v>
      </c>
      <c r="F6" s="8">
        <v>30</v>
      </c>
      <c r="G6" s="8">
        <v>55</v>
      </c>
      <c r="H6" s="9">
        <v>0.2</v>
      </c>
      <c r="I6" s="9">
        <v>0.2</v>
      </c>
      <c r="J6" s="5" t="s">
        <v>45</v>
      </c>
    </row>
    <row r="7" spans="1:10" x14ac:dyDescent="0.25">
      <c r="A7" s="5">
        <v>3</v>
      </c>
      <c r="B7" s="5" t="s">
        <v>46</v>
      </c>
      <c r="C7" s="5" t="s">
        <v>47</v>
      </c>
      <c r="D7" s="7">
        <v>0.08</v>
      </c>
      <c r="E7" s="5" t="s">
        <v>44</v>
      </c>
      <c r="F7" s="8">
        <v>15</v>
      </c>
      <c r="G7" s="8">
        <v>12</v>
      </c>
      <c r="H7" s="9">
        <v>0.1</v>
      </c>
      <c r="I7" s="9">
        <v>0.1</v>
      </c>
      <c r="J7" s="5" t="s">
        <v>48</v>
      </c>
    </row>
    <row r="8" spans="1:10" x14ac:dyDescent="0.25">
      <c r="A8" s="5">
        <v>4</v>
      </c>
      <c r="B8" s="5" t="s">
        <v>49</v>
      </c>
      <c r="C8" s="5" t="s">
        <v>50</v>
      </c>
      <c r="D8" s="7">
        <v>0.015</v>
      </c>
      <c r="E8" s="5" t="s">
        <v>40</v>
      </c>
      <c r="F8" s="8">
        <v>80</v>
      </c>
      <c r="G8" s="8">
        <v>80</v>
      </c>
      <c r="H8" s="9">
        <v>0.1</v>
      </c>
      <c r="I8" s="9">
        <v>0.1</v>
      </c>
      <c r="J8" s="5" t="s">
        <v>51</v>
      </c>
    </row>
    <row r="9" spans="1:10" x14ac:dyDescent="0.25">
      <c r="A9" s="5">
        <v>5</v>
      </c>
      <c r="B9" s="5" t="s">
        <v>52</v>
      </c>
      <c r="C9" s="5" t="s">
        <v>53</v>
      </c>
      <c r="D9" s="7">
        <v>1</v>
      </c>
      <c r="E9" s="5" t="s">
        <v>9</v>
      </c>
      <c r="F9" s="8">
        <v>0.15</v>
      </c>
      <c r="G9" s="8">
        <v>0.25</v>
      </c>
      <c r="H9" s="9">
        <v>0.05</v>
      </c>
      <c r="I9" s="9">
        <v>0.05</v>
      </c>
      <c r="J9" s="5" t="s">
        <v>54</v>
      </c>
    </row>
    <row r="10" spans="1:10" x14ac:dyDescent="0.25">
      <c r="A10" s="5">
        <v>6</v>
      </c>
      <c r="B10" s="5" t="s">
        <v>55</v>
      </c>
      <c r="C10" s="5" t="s">
        <v>56</v>
      </c>
      <c r="D10" s="7">
        <v>0.05</v>
      </c>
      <c r="E10" s="5" t="s">
        <v>44</v>
      </c>
      <c r="F10" s="8">
        <v>2</v>
      </c>
      <c r="G10" s="8">
        <v>2</v>
      </c>
      <c r="H10" s="9">
        <v>0.1</v>
      </c>
      <c r="I10" s="9">
        <v>0.1</v>
      </c>
      <c r="J10" s="5" t="s">
        <v>57</v>
      </c>
    </row>
    <row r="11" spans="1:10" x14ac:dyDescent="0.25">
      <c r="A11" s="5">
        <v>7</v>
      </c>
      <c r="B11" s="5" t="s">
        <v>58</v>
      </c>
      <c r="C11" s="5" t="s">
        <v>59</v>
      </c>
      <c r="D11" s="7">
        <v>1</v>
      </c>
      <c r="E11" s="5" t="s">
        <v>9</v>
      </c>
      <c r="F11" s="8">
        <v>5</v>
      </c>
      <c r="G11" s="8">
        <v>5.8</v>
      </c>
      <c r="H11" s="9">
        <v>0.02</v>
      </c>
      <c r="I11" s="9">
        <v>0.02</v>
      </c>
      <c r="J11" s="5" t="s">
        <v>60</v>
      </c>
    </row>
    <row r="12" spans="1:10" x14ac:dyDescent="0.25">
      <c r="A12" s="5">
        <v>8</v>
      </c>
      <c r="B12" s="5" t="s">
        <v>61</v>
      </c>
      <c r="C12" s="5" t="s">
        <v>62</v>
      </c>
      <c r="D12" s="7">
        <v>0.1</v>
      </c>
      <c r="E12" s="5" t="s">
        <v>44</v>
      </c>
      <c r="F12" s="8">
        <v>8</v>
      </c>
      <c r="G12" s="8">
        <v>8</v>
      </c>
      <c r="H12" s="9">
        <v>0.15</v>
      </c>
      <c r="I12" s="9">
        <v>0.15</v>
      </c>
      <c r="J12" s="5" t="s">
        <v>57</v>
      </c>
    </row>
    <row r="13" spans="1:10" x14ac:dyDescent="0.25">
      <c r="A13" s="5">
        <v>9</v>
      </c>
      <c r="B13" s="5" t="s">
        <v>63</v>
      </c>
      <c r="C13" s="5" t="s">
        <v>64</v>
      </c>
      <c r="D13" s="7">
        <v>0.03</v>
      </c>
      <c r="E13" s="5" t="s">
        <v>40</v>
      </c>
      <c r="F13" s="8">
        <v>12</v>
      </c>
      <c r="G13" s="8">
        <v>12</v>
      </c>
      <c r="H13" s="9">
        <v>0.1</v>
      </c>
      <c r="I13" s="9">
        <v>0.18</v>
      </c>
      <c r="J13" s="5" t="s">
        <v>65</v>
      </c>
    </row>
    <row r="14" spans="1:10" x14ac:dyDescent="0.25">
      <c r="A14" s="5">
        <v>10</v>
      </c>
      <c r="B14" s="5" t="s">
        <v>66</v>
      </c>
      <c r="C14" s="5" t="s">
        <v>67</v>
      </c>
      <c r="D14" s="7">
        <v>0.05</v>
      </c>
      <c r="E14" s="5" t="s">
        <v>68</v>
      </c>
      <c r="F14" s="8">
        <v>20</v>
      </c>
      <c r="G14" s="8">
        <v>20</v>
      </c>
      <c r="H14" s="9">
        <v>0</v>
      </c>
      <c r="I14" s="9">
        <v>0</v>
      </c>
      <c r="J14" s="5" t="s">
        <v>69</v>
      </c>
    </row>
    <row r="16" spans="1:1" x14ac:dyDescent="0.25">
      <c r="A16" s="2" t="s">
        <v>70</v>
      </c>
    </row>
    <row r="17" spans="1:10" x14ac:dyDescent="0.25">
      <c r="A17" s="3" t="s">
        <v>29</v>
      </c>
      <c r="B17" s="3" t="s">
        <v>30</v>
      </c>
      <c r="C17" s="3" t="s">
        <v>31</v>
      </c>
      <c r="D17" s="3" t="s">
        <v>71</v>
      </c>
      <c r="E17" s="3" t="s">
        <v>72</v>
      </c>
      <c r="F17" s="3" t="s">
        <v>73</v>
      </c>
      <c r="G17" s="3" t="s">
        <v>74</v>
      </c>
      <c r="H17" s="3" t="s">
        <v>75</v>
      </c>
      <c r="I17" s="3" t="s">
        <v>76</v>
      </c>
      <c r="J17" s="3" t="s">
        <v>77</v>
      </c>
    </row>
    <row r="18" spans="1:10" x14ac:dyDescent="0.25">
      <c r="A18" s="10">
        <f>A5</f>
      </c>
      <c r="B18" s="10">
        <f>B5</f>
      </c>
      <c r="C18" s="10">
        <f>C5</f>
      </c>
      <c r="D18" s="11">
        <f>D5*F5*(1+H5)</f>
      </c>
      <c r="E18" s="11">
        <f>D5*G5*(1+I5)</f>
      </c>
      <c r="F18" s="11">
        <f>E18-D18</f>
      </c>
      <c r="G18" s="11">
        <f>(G5-F5)*D5*(1+I5)</f>
      </c>
      <c r="H18" s="11">
        <f>(I5-H5)*D5*F5</f>
      </c>
      <c r="I18" s="12">
        <f>IF(F$28&lt;&gt;0, F18/F$28, 0)</f>
      </c>
      <c r="J18" s="10">
        <f>J5</f>
      </c>
    </row>
    <row r="19" spans="1:10" x14ac:dyDescent="0.25">
      <c r="A19" s="10">
        <f>A6</f>
      </c>
      <c r="B19" s="10">
        <f>B6</f>
      </c>
      <c r="C19" s="10">
        <f>C6</f>
      </c>
      <c r="D19" s="11">
        <f>D6*F6*(1+H6)</f>
      </c>
      <c r="E19" s="11">
        <f>D6*G6*(1+I6)</f>
      </c>
      <c r="F19" s="11">
        <f>E19-D19</f>
      </c>
      <c r="G19" s="11">
        <f>(G6-F6)*D6*(1+I6)</f>
      </c>
      <c r="H19" s="11">
        <f>(I6-H6)*D6*F6</f>
      </c>
      <c r="I19" s="12">
        <f>IF(F$28&lt;&gt;0, F19/F$28, 0)</f>
      </c>
      <c r="J19" s="10">
        <f>J6</f>
      </c>
    </row>
    <row r="20" spans="1:10" x14ac:dyDescent="0.25">
      <c r="A20" s="10">
        <f>A7</f>
      </c>
      <c r="B20" s="10">
        <f>B7</f>
      </c>
      <c r="C20" s="10">
        <f>C7</f>
      </c>
      <c r="D20" s="11">
        <f>D7*F7*(1+H7)</f>
      </c>
      <c r="E20" s="11">
        <f>D7*G7*(1+I7)</f>
      </c>
      <c r="F20" s="11">
        <f>E20-D20</f>
      </c>
      <c r="G20" s="11">
        <f>(G7-F7)*D7*(1+I7)</f>
      </c>
      <c r="H20" s="11">
        <f>(I7-H7)*D7*F7</f>
      </c>
      <c r="I20" s="12">
        <f>IF(F$28&lt;&gt;0, F20/F$28, 0)</f>
      </c>
      <c r="J20" s="10">
        <f>J7</f>
      </c>
    </row>
    <row r="21" spans="1:10" x14ac:dyDescent="0.25">
      <c r="A21" s="10">
        <f>A8</f>
      </c>
      <c r="B21" s="10">
        <f>B8</f>
      </c>
      <c r="C21" s="10">
        <f>C8</f>
      </c>
      <c r="D21" s="11">
        <f>D8*F8*(1+H8)</f>
      </c>
      <c r="E21" s="11">
        <f>D8*G8*(1+I8)</f>
      </c>
      <c r="F21" s="11">
        <f>E21-D21</f>
      </c>
      <c r="G21" s="11">
        <f>(G8-F8)*D8*(1+I8)</f>
      </c>
      <c r="H21" s="11">
        <f>(I8-H8)*D8*F8</f>
      </c>
      <c r="I21" s="12">
        <f>IF(F$28&lt;&gt;0, F21/F$28, 0)</f>
      </c>
      <c r="J21" s="10">
        <f>J8</f>
      </c>
    </row>
    <row r="22" spans="1:10" x14ac:dyDescent="0.25">
      <c r="A22" s="10">
        <f>A9</f>
      </c>
      <c r="B22" s="10">
        <f>B9</f>
      </c>
      <c r="C22" s="10">
        <f>C9</f>
      </c>
      <c r="D22" s="11">
        <f>D9*F9*(1+H9)</f>
      </c>
      <c r="E22" s="11">
        <f>D9*G9*(1+I9)</f>
      </c>
      <c r="F22" s="11">
        <f>E22-D22</f>
      </c>
      <c r="G22" s="11">
        <f>(G9-F9)*D9*(1+I9)</f>
      </c>
      <c r="H22" s="11">
        <f>(I9-H9)*D9*F9</f>
      </c>
      <c r="I22" s="12">
        <f>IF(F$28&lt;&gt;0, F22/F$28, 0)</f>
      </c>
      <c r="J22" s="10">
        <f>J9</f>
      </c>
    </row>
    <row r="23" spans="1:10" x14ac:dyDescent="0.25">
      <c r="A23" s="10">
        <f>A10</f>
      </c>
      <c r="B23" s="10">
        <f>B10</f>
      </c>
      <c r="C23" s="10">
        <f>C10</f>
      </c>
      <c r="D23" s="11">
        <f>D10*F10*(1+H10)</f>
      </c>
      <c r="E23" s="11">
        <f>D10*G10*(1+I10)</f>
      </c>
      <c r="F23" s="11">
        <f>E23-D23</f>
      </c>
      <c r="G23" s="11">
        <f>(G10-F10)*D10*(1+I10)</f>
      </c>
      <c r="H23" s="11">
        <f>(I10-H10)*D10*F10</f>
      </c>
      <c r="I23" s="12">
        <f>IF(F$28&lt;&gt;0, F23/F$28, 0)</f>
      </c>
      <c r="J23" s="10">
        <f>J10</f>
      </c>
    </row>
    <row r="24" spans="1:10" x14ac:dyDescent="0.25">
      <c r="A24" s="10">
        <f>A11</f>
      </c>
      <c r="B24" s="10">
        <f>B11</f>
      </c>
      <c r="C24" s="10">
        <f>C11</f>
      </c>
      <c r="D24" s="11">
        <f>D11*F11*(1+H11)</f>
      </c>
      <c r="E24" s="11">
        <f>D11*G11*(1+I11)</f>
      </c>
      <c r="F24" s="11">
        <f>E24-D24</f>
      </c>
      <c r="G24" s="11">
        <f>(G11-F11)*D11*(1+I11)</f>
      </c>
      <c r="H24" s="11">
        <f>(I11-H11)*D11*F11</f>
      </c>
      <c r="I24" s="12">
        <f>IF(F$28&lt;&gt;0, F24/F$28, 0)</f>
      </c>
      <c r="J24" s="10">
        <f>J11</f>
      </c>
    </row>
    <row r="25" spans="1:10" x14ac:dyDescent="0.25">
      <c r="A25" s="10">
        <f>A12</f>
      </c>
      <c r="B25" s="10">
        <f>B12</f>
      </c>
      <c r="C25" s="10">
        <f>C12</f>
      </c>
      <c r="D25" s="11">
        <f>D12*F12*(1+H12)</f>
      </c>
      <c r="E25" s="11">
        <f>D12*G12*(1+I12)</f>
      </c>
      <c r="F25" s="11">
        <f>E25-D25</f>
      </c>
      <c r="G25" s="11">
        <f>(G12-F12)*D12*(1+I12)</f>
      </c>
      <c r="H25" s="11">
        <f>(I12-H12)*D12*F12</f>
      </c>
      <c r="I25" s="12">
        <f>IF(F$28&lt;&gt;0, F25/F$28, 0)</f>
      </c>
      <c r="J25" s="10">
        <f>J12</f>
      </c>
    </row>
    <row r="26" spans="1:10" x14ac:dyDescent="0.25">
      <c r="A26" s="10">
        <f>A13</f>
      </c>
      <c r="B26" s="10">
        <f>B13</f>
      </c>
      <c r="C26" s="10">
        <f>C13</f>
      </c>
      <c r="D26" s="11">
        <f>D13*F13*(1+H13)</f>
      </c>
      <c r="E26" s="11">
        <f>D13*G13*(1+I13)</f>
      </c>
      <c r="F26" s="11">
        <f>E26-D26</f>
      </c>
      <c r="G26" s="11">
        <f>(G13-F13)*D13*(1+I13)</f>
      </c>
      <c r="H26" s="11">
        <f>(I13-H13)*D13*F13</f>
      </c>
      <c r="I26" s="12">
        <f>IF(F$28&lt;&gt;0, F26/F$28, 0)</f>
      </c>
      <c r="J26" s="10">
        <f>J13</f>
      </c>
    </row>
    <row r="27" spans="1:10" x14ac:dyDescent="0.25">
      <c r="A27" s="10">
        <f>A14</f>
      </c>
      <c r="B27" s="10">
        <f>B14</f>
      </c>
      <c r="C27" s="10">
        <f>C14</f>
      </c>
      <c r="D27" s="11">
        <f>D14*F14*(1+H14)</f>
      </c>
      <c r="E27" s="11">
        <f>D14*G14*(1+I14)</f>
      </c>
      <c r="F27" s="11">
        <f>E27-D27</f>
      </c>
      <c r="G27" s="11">
        <f>(G14-F14)*D14*(1+I14)</f>
      </c>
      <c r="H27" s="11">
        <f>(I14-H14)*D14*F14</f>
      </c>
      <c r="I27" s="12">
        <f>IF(F$28&lt;&gt;0, F27/F$28, 0)</f>
      </c>
      <c r="J27" s="10">
        <f>J14</f>
      </c>
    </row>
    <row r="28" spans="1:10" x14ac:dyDescent="0.25">
      <c r="A28" s="13"/>
      <c r="B28" s="13"/>
      <c r="C28" s="13" t="s">
        <v>78</v>
      </c>
      <c r="D28" s="14">
        <f>SUM(D18:D27)</f>
      </c>
      <c r="E28" s="14">
        <f>SUM(E18:E27)</f>
      </c>
      <c r="F28" s="14">
        <f>SUM(F18:F27)</f>
      </c>
      <c r="G28" s="14">
        <f>SUM(G18:G27)</f>
      </c>
      <c r="H28" s="14">
        <f>SUM(H18:H27)</f>
      </c>
      <c r="I28" s="13"/>
      <c r="J28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/>
  </sheetViews>
  <sheetFormatPr defaultRowHeight="15" outlineLevelRow="0" outlineLevelCol="0" x14ac:dyDescent="55"/>
  <cols>
    <col min="1" max="1" width="8" customWidth="1"/>
    <col min="2" max="2" width="38" customWidth="1"/>
    <col min="3" max="3" width="22" customWidth="1"/>
    <col min="4" max="4" width="10" customWidth="1"/>
    <col min="5" max="6" width="16" customWidth="1"/>
    <col min="7" max="8" width="13" customWidth="1"/>
    <col min="9" max="9" width="28" customWidth="1"/>
  </cols>
  <sheetData>
    <row r="1" spans="1:1" x14ac:dyDescent="0.25">
      <c r="A1" s="1" t="s">
        <v>79</v>
      </c>
    </row>
    <row r="3" spans="1:1" x14ac:dyDescent="0.25">
      <c r="A3" s="2" t="s">
        <v>80</v>
      </c>
    </row>
    <row r="4" spans="1:9" x14ac:dyDescent="0.25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17</v>
      </c>
    </row>
    <row r="5" spans="1:9" x14ac:dyDescent="0.25">
      <c r="A5" s="5">
        <v>10</v>
      </c>
      <c r="B5" s="5" t="s">
        <v>89</v>
      </c>
      <c r="C5" s="5" t="s">
        <v>18</v>
      </c>
      <c r="D5" s="15">
        <v>1</v>
      </c>
      <c r="E5" s="16">
        <v>5000</v>
      </c>
      <c r="F5" s="16">
        <v>5000</v>
      </c>
      <c r="G5" s="9">
        <v>1</v>
      </c>
      <c r="H5" s="9">
        <v>1</v>
      </c>
      <c r="I5" s="5" t="s">
        <v>90</v>
      </c>
    </row>
    <row r="6" spans="1:9" x14ac:dyDescent="0.25">
      <c r="A6" s="5">
        <v>20</v>
      </c>
      <c r="B6" s="5" t="s">
        <v>91</v>
      </c>
      <c r="C6" s="5" t="s">
        <v>18</v>
      </c>
      <c r="D6" s="15">
        <v>1</v>
      </c>
      <c r="E6" s="16">
        <v>2000</v>
      </c>
      <c r="F6" s="16">
        <v>2000</v>
      </c>
      <c r="G6" s="9">
        <v>1</v>
      </c>
      <c r="H6" s="9">
        <v>1</v>
      </c>
      <c r="I6" s="5" t="s">
        <v>90</v>
      </c>
    </row>
    <row r="7" spans="1:9" x14ac:dyDescent="0.25">
      <c r="A7" s="5">
        <v>30</v>
      </c>
      <c r="B7" s="5" t="s">
        <v>92</v>
      </c>
      <c r="C7" s="5" t="s">
        <v>21</v>
      </c>
      <c r="D7" s="15">
        <v>0.5</v>
      </c>
      <c r="E7" s="16">
        <v>6000</v>
      </c>
      <c r="F7" s="16">
        <v>6000</v>
      </c>
      <c r="G7" s="9">
        <v>1</v>
      </c>
      <c r="H7" s="9">
        <v>1</v>
      </c>
      <c r="I7" s="5" t="s">
        <v>90</v>
      </c>
    </row>
    <row r="8" spans="1:9" x14ac:dyDescent="0.25">
      <c r="A8" s="5">
        <v>40</v>
      </c>
      <c r="B8" s="5" t="s">
        <v>93</v>
      </c>
      <c r="C8" s="5" t="s">
        <v>21</v>
      </c>
      <c r="D8" s="15">
        <v>2</v>
      </c>
      <c r="E8" s="16">
        <v>1500</v>
      </c>
      <c r="F8" s="16">
        <v>1000</v>
      </c>
      <c r="G8" s="9">
        <v>1</v>
      </c>
      <c r="H8" s="9">
        <v>1</v>
      </c>
      <c r="I8" s="5" t="s">
        <v>94</v>
      </c>
    </row>
    <row r="9" spans="1:9" x14ac:dyDescent="0.25">
      <c r="A9" s="5">
        <v>50</v>
      </c>
      <c r="B9" s="5" t="s">
        <v>95</v>
      </c>
      <c r="C9" s="5" t="s">
        <v>21</v>
      </c>
      <c r="D9" s="15">
        <v>1</v>
      </c>
      <c r="E9" s="16">
        <v>3000</v>
      </c>
      <c r="F9" s="16">
        <v>3000</v>
      </c>
      <c r="G9" s="9">
        <v>1</v>
      </c>
      <c r="H9" s="9">
        <v>1</v>
      </c>
      <c r="I9" s="5" t="s">
        <v>90</v>
      </c>
    </row>
    <row r="10" spans="1:9" x14ac:dyDescent="0.25">
      <c r="A10" s="5">
        <v>60</v>
      </c>
      <c r="B10" s="5" t="s">
        <v>96</v>
      </c>
      <c r="C10" s="5" t="s">
        <v>21</v>
      </c>
      <c r="D10" s="15">
        <v>2</v>
      </c>
      <c r="E10" s="16">
        <v>1800</v>
      </c>
      <c r="F10" s="16">
        <v>1800</v>
      </c>
      <c r="G10" s="9">
        <v>0.98</v>
      </c>
      <c r="H10" s="9">
        <v>0.98</v>
      </c>
      <c r="I10" s="5" t="s">
        <v>90</v>
      </c>
    </row>
    <row r="11" spans="1:9" x14ac:dyDescent="0.25">
      <c r="A11" s="5">
        <v>70</v>
      </c>
      <c r="B11" s="5" t="s">
        <v>97</v>
      </c>
      <c r="C11" s="5" t="s">
        <v>21</v>
      </c>
      <c r="D11" s="15">
        <v>2</v>
      </c>
      <c r="E11" s="16">
        <v>1600</v>
      </c>
      <c r="F11" s="16">
        <v>1600</v>
      </c>
      <c r="G11" s="9">
        <v>0.98</v>
      </c>
      <c r="H11" s="9">
        <v>0.98</v>
      </c>
      <c r="I11" s="5" t="s">
        <v>90</v>
      </c>
    </row>
    <row r="12" spans="1:9" x14ac:dyDescent="0.25">
      <c r="A12" s="5">
        <v>80</v>
      </c>
      <c r="B12" s="5" t="s">
        <v>98</v>
      </c>
      <c r="C12" s="5" t="s">
        <v>23</v>
      </c>
      <c r="D12" s="15">
        <v>2</v>
      </c>
      <c r="E12" s="16">
        <v>2000</v>
      </c>
      <c r="F12" s="16">
        <v>2000</v>
      </c>
      <c r="G12" s="9">
        <v>0.99</v>
      </c>
      <c r="H12" s="9">
        <v>0.99</v>
      </c>
      <c r="I12" s="5" t="s">
        <v>90</v>
      </c>
    </row>
    <row r="13" spans="1:9" x14ac:dyDescent="0.25">
      <c r="A13" s="5">
        <v>90</v>
      </c>
      <c r="B13" s="5" t="s">
        <v>99</v>
      </c>
      <c r="C13" s="5" t="s">
        <v>23</v>
      </c>
      <c r="D13" s="15">
        <v>1</v>
      </c>
      <c r="E13" s="16">
        <v>4000</v>
      </c>
      <c r="F13" s="16">
        <v>4000</v>
      </c>
      <c r="G13" s="9">
        <v>0.98</v>
      </c>
      <c r="H13" s="9">
        <v>0.98</v>
      </c>
      <c r="I13" s="5" t="s">
        <v>90</v>
      </c>
    </row>
    <row r="14" spans="1:9" x14ac:dyDescent="0.25">
      <c r="A14" s="5">
        <v>100</v>
      </c>
      <c r="B14" s="5" t="s">
        <v>100</v>
      </c>
      <c r="C14" s="5" t="s">
        <v>23</v>
      </c>
      <c r="D14" s="15">
        <v>2</v>
      </c>
      <c r="E14" s="16">
        <v>800</v>
      </c>
      <c r="F14" s="16">
        <v>800</v>
      </c>
      <c r="G14" s="9">
        <v>0.9</v>
      </c>
      <c r="H14" s="9">
        <v>0.7</v>
      </c>
      <c r="I14" s="5" t="s">
        <v>101</v>
      </c>
    </row>
    <row r="15" spans="1:9" x14ac:dyDescent="0.25">
      <c r="A15" s="5">
        <v>110</v>
      </c>
      <c r="B15" s="5" t="s">
        <v>102</v>
      </c>
      <c r="C15" s="5" t="s">
        <v>23</v>
      </c>
      <c r="D15" s="15">
        <v>1</v>
      </c>
      <c r="E15" s="16">
        <v>1200</v>
      </c>
      <c r="F15" s="16">
        <v>900</v>
      </c>
      <c r="G15" s="9">
        <v>0.95</v>
      </c>
      <c r="H15" s="9">
        <v>0.95</v>
      </c>
      <c r="I15" s="5" t="s">
        <v>103</v>
      </c>
    </row>
    <row r="16" spans="1:9" x14ac:dyDescent="0.25">
      <c r="A16" s="5">
        <v>120</v>
      </c>
      <c r="B16" s="5" t="s">
        <v>104</v>
      </c>
      <c r="C16" s="5" t="s">
        <v>23</v>
      </c>
      <c r="D16" s="15">
        <v>2</v>
      </c>
      <c r="E16" s="16">
        <v>1000</v>
      </c>
      <c r="F16" s="16">
        <v>1000</v>
      </c>
      <c r="G16" s="9">
        <v>0.96</v>
      </c>
      <c r="H16" s="9">
        <v>0.96</v>
      </c>
      <c r="I16" s="5" t="s">
        <v>90</v>
      </c>
    </row>
    <row r="17" spans="1:9" x14ac:dyDescent="0.25">
      <c r="A17" s="5">
        <v>130</v>
      </c>
      <c r="B17" s="5" t="s">
        <v>105</v>
      </c>
      <c r="C17" s="5" t="s">
        <v>25</v>
      </c>
      <c r="D17" s="15">
        <v>1</v>
      </c>
      <c r="E17" s="16">
        <v>600</v>
      </c>
      <c r="F17" s="16">
        <v>600</v>
      </c>
      <c r="G17" s="9">
        <v>0.98</v>
      </c>
      <c r="H17" s="9">
        <v>0.88</v>
      </c>
      <c r="I17" s="5" t="s">
        <v>106</v>
      </c>
    </row>
    <row r="18" spans="1:9" x14ac:dyDescent="0.25">
      <c r="A18" s="5">
        <v>140</v>
      </c>
      <c r="B18" s="5" t="s">
        <v>107</v>
      </c>
      <c r="C18" s="5" t="s">
        <v>25</v>
      </c>
      <c r="D18" s="15">
        <v>2</v>
      </c>
      <c r="E18" s="16">
        <v>800</v>
      </c>
      <c r="F18" s="16">
        <v>800</v>
      </c>
      <c r="G18" s="9">
        <v>0.99</v>
      </c>
      <c r="H18" s="9">
        <v>0.99</v>
      </c>
      <c r="I18" s="5" t="s">
        <v>90</v>
      </c>
    </row>
    <row r="19" spans="1:9" x14ac:dyDescent="0.25">
      <c r="A19" s="5">
        <v>150</v>
      </c>
      <c r="B19" s="5" t="s">
        <v>108</v>
      </c>
      <c r="C19" s="5" t="s">
        <v>25</v>
      </c>
      <c r="D19" s="15">
        <v>2</v>
      </c>
      <c r="E19" s="16">
        <v>600</v>
      </c>
      <c r="F19" s="16">
        <v>600</v>
      </c>
      <c r="G19" s="9">
        <v>1</v>
      </c>
      <c r="H19" s="9">
        <v>1</v>
      </c>
      <c r="I19" s="5" t="s">
        <v>90</v>
      </c>
    </row>
    <row r="21" spans="1:1" x14ac:dyDescent="0.25">
      <c r="A21" s="2" t="s">
        <v>109</v>
      </c>
    </row>
    <row r="22" spans="1:10" x14ac:dyDescent="0.25">
      <c r="A22" s="3" t="s">
        <v>81</v>
      </c>
      <c r="B22" s="3" t="s">
        <v>82</v>
      </c>
      <c r="C22" s="3" t="s">
        <v>110</v>
      </c>
      <c r="D22" s="3" t="s">
        <v>111</v>
      </c>
      <c r="E22" s="3" t="s">
        <v>112</v>
      </c>
      <c r="F22" s="3" t="s">
        <v>113</v>
      </c>
      <c r="G22" s="3" t="s">
        <v>114</v>
      </c>
      <c r="H22" s="3" t="s">
        <v>115</v>
      </c>
      <c r="I22" s="3" t="s">
        <v>116</v>
      </c>
      <c r="J22" s="3" t="s">
        <v>117</v>
      </c>
    </row>
    <row r="23" spans="1:10" x14ac:dyDescent="0.25">
      <c r="A23" s="10">
        <f>A5</f>
      </c>
      <c r="B23" s="10">
        <f>B5</f>
      </c>
      <c r="C23" s="10">
        <f>C5</f>
      </c>
      <c r="D23" s="11">
        <f>(D5/(E5*G5))*VLOOKUP(C5,'1_MASTER_RATES'!$A$9:$D$12,3,FALSE)</f>
      </c>
      <c r="E23" s="11">
        <f>(D5/(F5*H5))*VLOOKUP(C5,'1_MASTER_RATES'!$A$9:$D$12,3,FALSE)</f>
      </c>
      <c r="F23" s="11">
        <f>(D5/(E5*G5))*VLOOKUP(C5,'1_MASTER_RATES'!$A$9:$D$12,4,FALSE)</f>
      </c>
      <c r="G23" s="11">
        <f>(D5/(F5*H5))*VLOOKUP(C5,'1_MASTER_RATES'!$A$9:$D$12,4,FALSE)</f>
      </c>
      <c r="H23" s="11">
        <f>D23+F23</f>
      </c>
      <c r="I23" s="11">
        <f>E23+G23</f>
      </c>
      <c r="J23" s="11">
        <f>I23-H23</f>
      </c>
    </row>
    <row r="24" spans="1:10" x14ac:dyDescent="0.25">
      <c r="A24" s="10">
        <f>A6</f>
      </c>
      <c r="B24" s="10">
        <f>B6</f>
      </c>
      <c r="C24" s="10">
        <f>C6</f>
      </c>
      <c r="D24" s="11">
        <f>(D6/(E6*G6))*VLOOKUP(C6,'1_MASTER_RATES'!$A$9:$D$12,3,FALSE)</f>
      </c>
      <c r="E24" s="11">
        <f>(D6/(F6*H6))*VLOOKUP(C6,'1_MASTER_RATES'!$A$9:$D$12,3,FALSE)</f>
      </c>
      <c r="F24" s="11">
        <f>(D6/(E6*G6))*VLOOKUP(C6,'1_MASTER_RATES'!$A$9:$D$12,4,FALSE)</f>
      </c>
      <c r="G24" s="11">
        <f>(D6/(F6*H6))*VLOOKUP(C6,'1_MASTER_RATES'!$A$9:$D$12,4,FALSE)</f>
      </c>
      <c r="H24" s="11">
        <f>D24+F24</f>
      </c>
      <c r="I24" s="11">
        <f>E24+G24</f>
      </c>
      <c r="J24" s="11">
        <f>I24-H24</f>
      </c>
    </row>
    <row r="25" spans="1:10" x14ac:dyDescent="0.25">
      <c r="A25" s="10">
        <f>A7</f>
      </c>
      <c r="B25" s="10">
        <f>B7</f>
      </c>
      <c r="C25" s="10">
        <f>C7</f>
      </c>
      <c r="D25" s="11">
        <f>(D7/(E7*G7))*VLOOKUP(C7,'1_MASTER_RATES'!$A$9:$D$12,3,FALSE)</f>
      </c>
      <c r="E25" s="11">
        <f>(D7/(F7*H7))*VLOOKUP(C7,'1_MASTER_RATES'!$A$9:$D$12,3,FALSE)</f>
      </c>
      <c r="F25" s="11">
        <f>(D7/(E7*G7))*VLOOKUP(C7,'1_MASTER_RATES'!$A$9:$D$12,4,FALSE)</f>
      </c>
      <c r="G25" s="11">
        <f>(D7/(F7*H7))*VLOOKUP(C7,'1_MASTER_RATES'!$A$9:$D$12,4,FALSE)</f>
      </c>
      <c r="H25" s="11">
        <f>D25+F25</f>
      </c>
      <c r="I25" s="11">
        <f>E25+G25</f>
      </c>
      <c r="J25" s="11">
        <f>I25-H25</f>
      </c>
    </row>
    <row r="26" spans="1:10" x14ac:dyDescent="0.25">
      <c r="A26" s="10">
        <f>A8</f>
      </c>
      <c r="B26" s="10">
        <f>B8</f>
      </c>
      <c r="C26" s="10">
        <f>C8</f>
      </c>
      <c r="D26" s="11">
        <f>(D8/(E8*G8))*VLOOKUP(C8,'1_MASTER_RATES'!$A$9:$D$12,3,FALSE)</f>
      </c>
      <c r="E26" s="11">
        <f>(D8/(F8*H8))*VLOOKUP(C8,'1_MASTER_RATES'!$A$9:$D$12,3,FALSE)</f>
      </c>
      <c r="F26" s="11">
        <f>(D8/(E8*G8))*VLOOKUP(C8,'1_MASTER_RATES'!$A$9:$D$12,4,FALSE)</f>
      </c>
      <c r="G26" s="11">
        <f>(D8/(F8*H8))*VLOOKUP(C8,'1_MASTER_RATES'!$A$9:$D$12,4,FALSE)</f>
      </c>
      <c r="H26" s="11">
        <f>D26+F26</f>
      </c>
      <c r="I26" s="11">
        <f>E26+G26</f>
      </c>
      <c r="J26" s="11">
        <f>I26-H26</f>
      </c>
    </row>
    <row r="27" spans="1:10" x14ac:dyDescent="0.25">
      <c r="A27" s="10">
        <f>A9</f>
      </c>
      <c r="B27" s="10">
        <f>B9</f>
      </c>
      <c r="C27" s="10">
        <f>C9</f>
      </c>
      <c r="D27" s="11">
        <f>(D9/(E9*G9))*VLOOKUP(C9,'1_MASTER_RATES'!$A$9:$D$12,3,FALSE)</f>
      </c>
      <c r="E27" s="11">
        <f>(D9/(F9*H9))*VLOOKUP(C9,'1_MASTER_RATES'!$A$9:$D$12,3,FALSE)</f>
      </c>
      <c r="F27" s="11">
        <f>(D9/(E9*G9))*VLOOKUP(C9,'1_MASTER_RATES'!$A$9:$D$12,4,FALSE)</f>
      </c>
      <c r="G27" s="11">
        <f>(D9/(F9*H9))*VLOOKUP(C9,'1_MASTER_RATES'!$A$9:$D$12,4,FALSE)</f>
      </c>
      <c r="H27" s="11">
        <f>D27+F27</f>
      </c>
      <c r="I27" s="11">
        <f>E27+G27</f>
      </c>
      <c r="J27" s="11">
        <f>I27-H27</f>
      </c>
    </row>
    <row r="28" spans="1:10" x14ac:dyDescent="0.25">
      <c r="A28" s="10">
        <f>A10</f>
      </c>
      <c r="B28" s="10">
        <f>B10</f>
      </c>
      <c r="C28" s="10">
        <f>C10</f>
      </c>
      <c r="D28" s="11">
        <f>(D10/(E10*G10))*VLOOKUP(C10,'1_MASTER_RATES'!$A$9:$D$12,3,FALSE)</f>
      </c>
      <c r="E28" s="11">
        <f>(D10/(F10*H10))*VLOOKUP(C10,'1_MASTER_RATES'!$A$9:$D$12,3,FALSE)</f>
      </c>
      <c r="F28" s="11">
        <f>(D10/(E10*G10))*VLOOKUP(C10,'1_MASTER_RATES'!$A$9:$D$12,4,FALSE)</f>
      </c>
      <c r="G28" s="11">
        <f>(D10/(F10*H10))*VLOOKUP(C10,'1_MASTER_RATES'!$A$9:$D$12,4,FALSE)</f>
      </c>
      <c r="H28" s="11">
        <f>D28+F28</f>
      </c>
      <c r="I28" s="11">
        <f>E28+G28</f>
      </c>
      <c r="J28" s="11">
        <f>I28-H28</f>
      </c>
    </row>
    <row r="29" spans="1:10" x14ac:dyDescent="0.25">
      <c r="A29" s="10">
        <f>A11</f>
      </c>
      <c r="B29" s="10">
        <f>B11</f>
      </c>
      <c r="C29" s="10">
        <f>C11</f>
      </c>
      <c r="D29" s="11">
        <f>(D11/(E11*G11))*VLOOKUP(C11,'1_MASTER_RATES'!$A$9:$D$12,3,FALSE)</f>
      </c>
      <c r="E29" s="11">
        <f>(D11/(F11*H11))*VLOOKUP(C11,'1_MASTER_RATES'!$A$9:$D$12,3,FALSE)</f>
      </c>
      <c r="F29" s="11">
        <f>(D11/(E11*G11))*VLOOKUP(C11,'1_MASTER_RATES'!$A$9:$D$12,4,FALSE)</f>
      </c>
      <c r="G29" s="11">
        <f>(D11/(F11*H11))*VLOOKUP(C11,'1_MASTER_RATES'!$A$9:$D$12,4,FALSE)</f>
      </c>
      <c r="H29" s="11">
        <f>D29+F29</f>
      </c>
      <c r="I29" s="11">
        <f>E29+G29</f>
      </c>
      <c r="J29" s="11">
        <f>I29-H29</f>
      </c>
    </row>
    <row r="30" spans="1:10" x14ac:dyDescent="0.25">
      <c r="A30" s="10">
        <f>A12</f>
      </c>
      <c r="B30" s="10">
        <f>B12</f>
      </c>
      <c r="C30" s="10">
        <f>C12</f>
      </c>
      <c r="D30" s="11">
        <f>(D12/(E12*G12))*VLOOKUP(C12,'1_MASTER_RATES'!$A$9:$D$12,3,FALSE)</f>
      </c>
      <c r="E30" s="11">
        <f>(D12/(F12*H12))*VLOOKUP(C12,'1_MASTER_RATES'!$A$9:$D$12,3,FALSE)</f>
      </c>
      <c r="F30" s="11">
        <f>(D12/(E12*G12))*VLOOKUP(C12,'1_MASTER_RATES'!$A$9:$D$12,4,FALSE)</f>
      </c>
      <c r="G30" s="11">
        <f>(D12/(F12*H12))*VLOOKUP(C12,'1_MASTER_RATES'!$A$9:$D$12,4,FALSE)</f>
      </c>
      <c r="H30" s="11">
        <f>D30+F30</f>
      </c>
      <c r="I30" s="11">
        <f>E30+G30</f>
      </c>
      <c r="J30" s="11">
        <f>I30-H30</f>
      </c>
    </row>
    <row r="31" spans="1:10" x14ac:dyDescent="0.25">
      <c r="A31" s="10">
        <f>A13</f>
      </c>
      <c r="B31" s="10">
        <f>B13</f>
      </c>
      <c r="C31" s="10">
        <f>C13</f>
      </c>
      <c r="D31" s="11">
        <f>(D13/(E13*G13))*VLOOKUP(C13,'1_MASTER_RATES'!$A$9:$D$12,3,FALSE)</f>
      </c>
      <c r="E31" s="11">
        <f>(D13/(F13*H13))*VLOOKUP(C13,'1_MASTER_RATES'!$A$9:$D$12,3,FALSE)</f>
      </c>
      <c r="F31" s="11">
        <f>(D13/(E13*G13))*VLOOKUP(C13,'1_MASTER_RATES'!$A$9:$D$12,4,FALSE)</f>
      </c>
      <c r="G31" s="11">
        <f>(D13/(F13*H13))*VLOOKUP(C13,'1_MASTER_RATES'!$A$9:$D$12,4,FALSE)</f>
      </c>
      <c r="H31" s="11">
        <f>D31+F31</f>
      </c>
      <c r="I31" s="11">
        <f>E31+G31</f>
      </c>
      <c r="J31" s="11">
        <f>I31-H31</f>
      </c>
    </row>
    <row r="32" spans="1:10" x14ac:dyDescent="0.25">
      <c r="A32" s="10">
        <f>A14</f>
      </c>
      <c r="B32" s="10">
        <f>B14</f>
      </c>
      <c r="C32" s="10">
        <f>C14</f>
      </c>
      <c r="D32" s="11">
        <f>(D14/(E14*G14))*VLOOKUP(C14,'1_MASTER_RATES'!$A$9:$D$12,3,FALSE)</f>
      </c>
      <c r="E32" s="11">
        <f>(D14/(F14*H14))*VLOOKUP(C14,'1_MASTER_RATES'!$A$9:$D$12,3,FALSE)</f>
      </c>
      <c r="F32" s="11">
        <f>(D14/(E14*G14))*VLOOKUP(C14,'1_MASTER_RATES'!$A$9:$D$12,4,FALSE)</f>
      </c>
      <c r="G32" s="11">
        <f>(D14/(F14*H14))*VLOOKUP(C14,'1_MASTER_RATES'!$A$9:$D$12,4,FALSE)</f>
      </c>
      <c r="H32" s="11">
        <f>D32+F32</f>
      </c>
      <c r="I32" s="11">
        <f>E32+G32</f>
      </c>
      <c r="J32" s="11">
        <f>I32-H32</f>
      </c>
    </row>
    <row r="33" spans="1:10" x14ac:dyDescent="0.25">
      <c r="A33" s="10">
        <f>A15</f>
      </c>
      <c r="B33" s="10">
        <f>B15</f>
      </c>
      <c r="C33" s="10">
        <f>C15</f>
      </c>
      <c r="D33" s="11">
        <f>(D15/(E15*G15))*VLOOKUP(C15,'1_MASTER_RATES'!$A$9:$D$12,3,FALSE)</f>
      </c>
      <c r="E33" s="11">
        <f>(D15/(F15*H15))*VLOOKUP(C15,'1_MASTER_RATES'!$A$9:$D$12,3,FALSE)</f>
      </c>
      <c r="F33" s="11">
        <f>(D15/(E15*G15))*VLOOKUP(C15,'1_MASTER_RATES'!$A$9:$D$12,4,FALSE)</f>
      </c>
      <c r="G33" s="11">
        <f>(D15/(F15*H15))*VLOOKUP(C15,'1_MASTER_RATES'!$A$9:$D$12,4,FALSE)</f>
      </c>
      <c r="H33" s="11">
        <f>D33+F33</f>
      </c>
      <c r="I33" s="11">
        <f>E33+G33</f>
      </c>
      <c r="J33" s="11">
        <f>I33-H33</f>
      </c>
    </row>
    <row r="34" spans="1:10" x14ac:dyDescent="0.25">
      <c r="A34" s="10">
        <f>A16</f>
      </c>
      <c r="B34" s="10">
        <f>B16</f>
      </c>
      <c r="C34" s="10">
        <f>C16</f>
      </c>
      <c r="D34" s="11">
        <f>(D16/(E16*G16))*VLOOKUP(C16,'1_MASTER_RATES'!$A$9:$D$12,3,FALSE)</f>
      </c>
      <c r="E34" s="11">
        <f>(D16/(F16*H16))*VLOOKUP(C16,'1_MASTER_RATES'!$A$9:$D$12,3,FALSE)</f>
      </c>
      <c r="F34" s="11">
        <f>(D16/(E16*G16))*VLOOKUP(C16,'1_MASTER_RATES'!$A$9:$D$12,4,FALSE)</f>
      </c>
      <c r="G34" s="11">
        <f>(D16/(F16*H16))*VLOOKUP(C16,'1_MASTER_RATES'!$A$9:$D$12,4,FALSE)</f>
      </c>
      <c r="H34" s="11">
        <f>D34+F34</f>
      </c>
      <c r="I34" s="11">
        <f>E34+G34</f>
      </c>
      <c r="J34" s="11">
        <f>I34-H34</f>
      </c>
    </row>
    <row r="35" spans="1:10" x14ac:dyDescent="0.25">
      <c r="A35" s="10">
        <f>A17</f>
      </c>
      <c r="B35" s="10">
        <f>B17</f>
      </c>
      <c r="C35" s="10">
        <f>C17</f>
      </c>
      <c r="D35" s="11">
        <f>(D17/(E17*G17))*VLOOKUP(C17,'1_MASTER_RATES'!$A$9:$D$12,3,FALSE)</f>
      </c>
      <c r="E35" s="11">
        <f>(D17/(F17*H17))*VLOOKUP(C17,'1_MASTER_RATES'!$A$9:$D$12,3,FALSE)</f>
      </c>
      <c r="F35" s="11">
        <f>(D17/(E17*G17))*VLOOKUP(C17,'1_MASTER_RATES'!$A$9:$D$12,4,FALSE)</f>
      </c>
      <c r="G35" s="11">
        <f>(D17/(F17*H17))*VLOOKUP(C17,'1_MASTER_RATES'!$A$9:$D$12,4,FALSE)</f>
      </c>
      <c r="H35" s="11">
        <f>D35+F35</f>
      </c>
      <c r="I35" s="11">
        <f>E35+G35</f>
      </c>
      <c r="J35" s="11">
        <f>I35-H35</f>
      </c>
    </row>
    <row r="36" spans="1:10" x14ac:dyDescent="0.25">
      <c r="A36" s="10">
        <f>A18</f>
      </c>
      <c r="B36" s="10">
        <f>B18</f>
      </c>
      <c r="C36" s="10">
        <f>C18</f>
      </c>
      <c r="D36" s="11">
        <f>(D18/(E18*G18))*VLOOKUP(C18,'1_MASTER_RATES'!$A$9:$D$12,3,FALSE)</f>
      </c>
      <c r="E36" s="11">
        <f>(D18/(F18*H18))*VLOOKUP(C18,'1_MASTER_RATES'!$A$9:$D$12,3,FALSE)</f>
      </c>
      <c r="F36" s="11">
        <f>(D18/(E18*G18))*VLOOKUP(C18,'1_MASTER_RATES'!$A$9:$D$12,4,FALSE)</f>
      </c>
      <c r="G36" s="11">
        <f>(D18/(F18*H18))*VLOOKUP(C18,'1_MASTER_RATES'!$A$9:$D$12,4,FALSE)</f>
      </c>
      <c r="H36" s="11">
        <f>D36+F36</f>
      </c>
      <c r="I36" s="11">
        <f>E36+G36</f>
      </c>
      <c r="J36" s="11">
        <f>I36-H36</f>
      </c>
    </row>
    <row r="37" spans="1:10" x14ac:dyDescent="0.25">
      <c r="A37" s="10">
        <f>A19</f>
      </c>
      <c r="B37" s="10">
        <f>B19</f>
      </c>
      <c r="C37" s="10">
        <f>C19</f>
      </c>
      <c r="D37" s="11">
        <f>(D19/(E19*G19))*VLOOKUP(C19,'1_MASTER_RATES'!$A$9:$D$12,3,FALSE)</f>
      </c>
      <c r="E37" s="11">
        <f>(D19/(F19*H19))*VLOOKUP(C19,'1_MASTER_RATES'!$A$9:$D$12,3,FALSE)</f>
      </c>
      <c r="F37" s="11">
        <f>(D19/(E19*G19))*VLOOKUP(C19,'1_MASTER_RATES'!$A$9:$D$12,4,FALSE)</f>
      </c>
      <c r="G37" s="11">
        <f>(D19/(F19*H19))*VLOOKUP(C19,'1_MASTER_RATES'!$A$9:$D$12,4,FALSE)</f>
      </c>
      <c r="H37" s="11">
        <f>D37+F37</f>
      </c>
      <c r="I37" s="11">
        <f>E37+G37</f>
      </c>
      <c r="J37" s="11">
        <f>I37-H37</f>
      </c>
    </row>
    <row r="38" spans="1:10" x14ac:dyDescent="0.25">
      <c r="A38" s="13"/>
      <c r="B38" s="13" t="s">
        <v>118</v>
      </c>
      <c r="C38" s="13"/>
      <c r="D38" s="14">
        <f>SUM(D23:D37)</f>
      </c>
      <c r="E38" s="14">
        <f>SUM(E23:E37)</f>
      </c>
      <c r="F38" s="14">
        <f>SUM(F23:F37)</f>
      </c>
      <c r="G38" s="14">
        <f>SUM(G23:G37)</f>
      </c>
      <c r="H38" s="14">
        <f>SUM(H23:H37)</f>
      </c>
      <c r="I38" s="14">
        <f>SUM(I23:I37)</f>
      </c>
      <c r="J38" s="14">
        <f>SUM(J23:J37)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4" customWidth="1"/>
    <col min="4" max="6" width="14" customWidth="1"/>
    <col min="7" max="7" width="12" customWidth="1"/>
    <col min="8" max="8" width="16" customWidth="1"/>
    <col min="9" max="9" width="36" customWidth="1"/>
  </cols>
  <sheetData>
    <row r="1" spans="1:1" x14ac:dyDescent="0.25">
      <c r="A1" s="1" t="s">
        <v>119</v>
      </c>
    </row>
    <row r="4" spans="1:5" x14ac:dyDescent="0.25">
      <c r="A4" s="3" t="s">
        <v>120</v>
      </c>
      <c r="B4" s="3" t="s">
        <v>121</v>
      </c>
      <c r="C4" s="3" t="s">
        <v>122</v>
      </c>
      <c r="D4" s="3" t="s">
        <v>117</v>
      </c>
      <c r="E4" s="3" t="s">
        <v>123</v>
      </c>
    </row>
    <row r="5" spans="1:5" x14ac:dyDescent="0.25">
      <c r="A5" s="17" t="s">
        <v>124</v>
      </c>
      <c r="B5" s="18">
        <f>'2_BOM_BREAKDOWN'!D28</f>
      </c>
      <c r="C5" s="18">
        <f>'2_BOM_BREAKDOWN'!E28</f>
      </c>
      <c r="D5" s="18">
        <f>C5-B5</f>
      </c>
      <c r="E5" s="19">
        <f>IF(B5&lt;&gt;0, D5/B5, 0)</f>
      </c>
    </row>
    <row r="6" spans="1:5" x14ac:dyDescent="0.25">
      <c r="A6" s="17" t="s">
        <v>125</v>
      </c>
      <c r="B6" s="18">
        <f>'3_ROUTING_BREAKDOWN'!D38</f>
      </c>
      <c r="C6" s="18">
        <f>'3_ROUTING_BREAKDOWN'!E38</f>
      </c>
      <c r="D6" s="18">
        <f>C6-B6</f>
      </c>
      <c r="E6" s="19">
        <f>IF(B6&lt;&gt;0, D6/B6, 0)</f>
      </c>
    </row>
    <row r="7" spans="1:5" x14ac:dyDescent="0.25">
      <c r="A7" s="17" t="s">
        <v>126</v>
      </c>
      <c r="B7" s="18">
        <f>'3_ROUTING_BREAKDOWN'!F38</f>
      </c>
      <c r="C7" s="18">
        <f>'3_ROUTING_BREAKDOWN'!G38</f>
      </c>
      <c r="D7" s="18">
        <f>C7-B7</f>
      </c>
      <c r="E7" s="19">
        <f>IF(B7&lt;&gt;0, D7/B7, 0)</f>
      </c>
    </row>
    <row r="8" spans="1:5" x14ac:dyDescent="0.25">
      <c r="A8" s="13" t="s">
        <v>127</v>
      </c>
      <c r="B8" s="14">
        <f>SUM(B5:B7)</f>
      </c>
      <c r="C8" s="14">
        <f>SUM(C5:C7)</f>
      </c>
      <c r="D8" s="14">
        <f>C8-B8</f>
      </c>
      <c r="E8" s="20">
        <f>IF(B8&lt;&gt;0, D8/B8, 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1_MASTER_RATES</vt:lpstr>
      <vt:lpstr>2_BOM_BREAKDOWN</vt:lpstr>
      <vt:lpstr>3_ROUTING_BREAKDOWN</vt:lpstr>
      <vt:lpstr>4_SUMMARY_&amp;_COMPARISON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Benchmark Generator</dc:creator>
  <dc:title/>
  <dc:subject/>
  <dc:description/>
  <cp:keywords/>
  <cp:category/>
  <cp:lastModifiedBy>Unknown</cp:lastModifiedBy>
  <dcterms:created xsi:type="dcterms:W3CDTF">2026-08-21T08:15:45Z</dcterms:created>
  <dcterms:modified xsi:type="dcterms:W3CDTF">2026-08-21T08:15:45Z</dcterms:modified>
</cp:coreProperties>
</file>