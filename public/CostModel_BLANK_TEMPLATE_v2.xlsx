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C96FF536-DAD7-489E-B679-69D809F9342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1_MASTER_RATES" sheetId="1" r:id="rId1"/>
    <sheet name="2_BOM_BREAKDOWN" sheetId="2" r:id="rId2"/>
    <sheet name="3_ROUTING_BREAKDOWN" sheetId="3" r:id="rId3"/>
    <sheet name="_CALC_ENGINE" sheetId="4" r:id="rId4"/>
    <sheet name="4_SUMMARY_&amp;_COMPARIS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" i="4" l="1"/>
  <c r="H58" i="4" s="1"/>
  <c r="F58" i="4"/>
  <c r="E58" i="4"/>
  <c r="D58" i="4"/>
  <c r="C58" i="4"/>
  <c r="B58" i="4"/>
  <c r="F57" i="4"/>
  <c r="E57" i="4"/>
  <c r="D57" i="4"/>
  <c r="C57" i="4"/>
  <c r="B57" i="4"/>
  <c r="F56" i="4"/>
  <c r="E56" i="4"/>
  <c r="D56" i="4"/>
  <c r="C56" i="4"/>
  <c r="B56" i="4"/>
  <c r="F55" i="4"/>
  <c r="E55" i="4"/>
  <c r="D55" i="4"/>
  <c r="C55" i="4"/>
  <c r="B55" i="4"/>
  <c r="G54" i="4"/>
  <c r="H54" i="4" s="1"/>
  <c r="F54" i="4"/>
  <c r="E54" i="4"/>
  <c r="D54" i="4"/>
  <c r="C54" i="4"/>
  <c r="B54" i="4"/>
  <c r="G53" i="4"/>
  <c r="H53" i="4" s="1"/>
  <c r="F53" i="4"/>
  <c r="E53" i="4"/>
  <c r="D53" i="4"/>
  <c r="C53" i="4"/>
  <c r="B53" i="4"/>
  <c r="G52" i="4"/>
  <c r="H52" i="4" s="1"/>
  <c r="F52" i="4"/>
  <c r="E52" i="4"/>
  <c r="D52" i="4"/>
  <c r="C52" i="4"/>
  <c r="B52" i="4"/>
  <c r="F51" i="4"/>
  <c r="E51" i="4"/>
  <c r="D51" i="4"/>
  <c r="C51" i="4"/>
  <c r="B51" i="4"/>
  <c r="F50" i="4"/>
  <c r="E50" i="4"/>
  <c r="D50" i="4"/>
  <c r="C50" i="4"/>
  <c r="B50" i="4"/>
  <c r="F49" i="4"/>
  <c r="E49" i="4"/>
  <c r="D49" i="4"/>
  <c r="C49" i="4"/>
  <c r="B49" i="4"/>
  <c r="H48" i="4"/>
  <c r="G48" i="4"/>
  <c r="F48" i="4"/>
  <c r="E48" i="4"/>
  <c r="D48" i="4"/>
  <c r="C48" i="4"/>
  <c r="B48" i="4"/>
  <c r="F47" i="4"/>
  <c r="E47" i="4"/>
  <c r="D47" i="4"/>
  <c r="C47" i="4"/>
  <c r="B47" i="4"/>
  <c r="F46" i="4"/>
  <c r="E46" i="4"/>
  <c r="D46" i="4"/>
  <c r="C46" i="4"/>
  <c r="B46" i="4"/>
  <c r="F45" i="4"/>
  <c r="E45" i="4"/>
  <c r="D45" i="4"/>
  <c r="C45" i="4"/>
  <c r="B45" i="4"/>
  <c r="F44" i="4"/>
  <c r="E44" i="4"/>
  <c r="D44" i="4"/>
  <c r="C44" i="4"/>
  <c r="B44" i="4"/>
  <c r="G43" i="4"/>
  <c r="H43" i="4" s="1"/>
  <c r="F43" i="4"/>
  <c r="E43" i="4"/>
  <c r="D43" i="4"/>
  <c r="C43" i="4"/>
  <c r="B43" i="4"/>
  <c r="F42" i="4"/>
  <c r="E42" i="4"/>
  <c r="D42" i="4"/>
  <c r="C42" i="4"/>
  <c r="B42" i="4"/>
  <c r="F41" i="4"/>
  <c r="E41" i="4"/>
  <c r="D41" i="4"/>
  <c r="C41" i="4"/>
  <c r="B41" i="4"/>
  <c r="F40" i="4"/>
  <c r="E40" i="4"/>
  <c r="D40" i="4"/>
  <c r="C40" i="4"/>
  <c r="B40" i="4"/>
  <c r="F39" i="4"/>
  <c r="E39" i="4"/>
  <c r="D39" i="4"/>
  <c r="C39" i="4"/>
  <c r="B39" i="4"/>
  <c r="G38" i="4"/>
  <c r="H38" i="4" s="1"/>
  <c r="F38" i="4"/>
  <c r="E38" i="4"/>
  <c r="D38" i="4"/>
  <c r="C38" i="4"/>
  <c r="B38" i="4"/>
  <c r="F37" i="4"/>
  <c r="E37" i="4"/>
  <c r="D37" i="4"/>
  <c r="C37" i="4"/>
  <c r="B37" i="4"/>
  <c r="F36" i="4"/>
  <c r="E36" i="4"/>
  <c r="D36" i="4"/>
  <c r="C36" i="4"/>
  <c r="B36" i="4"/>
  <c r="F35" i="4"/>
  <c r="E35" i="4"/>
  <c r="D35" i="4"/>
  <c r="C35" i="4"/>
  <c r="B35" i="4"/>
  <c r="G34" i="4"/>
  <c r="H34" i="4" s="1"/>
  <c r="F34" i="4"/>
  <c r="E34" i="4"/>
  <c r="D34" i="4"/>
  <c r="C34" i="4"/>
  <c r="B34" i="4"/>
  <c r="G33" i="4"/>
  <c r="H33" i="4" s="1"/>
  <c r="F33" i="4"/>
  <c r="E33" i="4"/>
  <c r="D33" i="4"/>
  <c r="C33" i="4"/>
  <c r="B33" i="4"/>
  <c r="G32" i="4"/>
  <c r="H32" i="4" s="1"/>
  <c r="F32" i="4"/>
  <c r="E32" i="4"/>
  <c r="D32" i="4"/>
  <c r="C32" i="4"/>
  <c r="B32" i="4"/>
  <c r="F31" i="4"/>
  <c r="E31" i="4"/>
  <c r="D31" i="4"/>
  <c r="C31" i="4"/>
  <c r="B31" i="4"/>
  <c r="F30" i="4"/>
  <c r="E30" i="4"/>
  <c r="D30" i="4"/>
  <c r="C30" i="4"/>
  <c r="B30" i="4"/>
  <c r="F29" i="4"/>
  <c r="E29" i="4"/>
  <c r="D29" i="4"/>
  <c r="C29" i="4"/>
  <c r="B29" i="4"/>
  <c r="H28" i="4"/>
  <c r="G28" i="4"/>
  <c r="F28" i="4"/>
  <c r="E28" i="4"/>
  <c r="D28" i="4"/>
  <c r="C28" i="4"/>
  <c r="B28" i="4"/>
  <c r="F27" i="4"/>
  <c r="E27" i="4"/>
  <c r="D27" i="4"/>
  <c r="C27" i="4"/>
  <c r="B27" i="4"/>
  <c r="F26" i="4"/>
  <c r="E26" i="4"/>
  <c r="D26" i="4"/>
  <c r="C26" i="4"/>
  <c r="B26" i="4"/>
  <c r="F25" i="4"/>
  <c r="E25" i="4"/>
  <c r="D25" i="4"/>
  <c r="C25" i="4"/>
  <c r="B25" i="4"/>
  <c r="F24" i="4"/>
  <c r="E24" i="4"/>
  <c r="D24" i="4"/>
  <c r="C24" i="4"/>
  <c r="B24" i="4"/>
  <c r="G23" i="4"/>
  <c r="H23" i="4" s="1"/>
  <c r="F23" i="4"/>
  <c r="E23" i="4"/>
  <c r="D23" i="4"/>
  <c r="C23" i="4"/>
  <c r="B23" i="4"/>
  <c r="F22" i="4"/>
  <c r="E22" i="4"/>
  <c r="D22" i="4"/>
  <c r="C22" i="4"/>
  <c r="B22" i="4"/>
  <c r="F21" i="4"/>
  <c r="E21" i="4"/>
  <c r="D21" i="4"/>
  <c r="C21" i="4"/>
  <c r="B21" i="4"/>
  <c r="F20" i="4"/>
  <c r="E20" i="4"/>
  <c r="D20" i="4"/>
  <c r="C20" i="4"/>
  <c r="B20" i="4"/>
  <c r="F19" i="4"/>
  <c r="E19" i="4"/>
  <c r="D19" i="4"/>
  <c r="C19" i="4"/>
  <c r="B19" i="4"/>
  <c r="G18" i="4"/>
  <c r="H18" i="4" s="1"/>
  <c r="F18" i="4"/>
  <c r="E18" i="4"/>
  <c r="D18" i="4"/>
  <c r="C18" i="4"/>
  <c r="B18" i="4"/>
  <c r="F17" i="4"/>
  <c r="E17" i="4"/>
  <c r="D17" i="4"/>
  <c r="C17" i="4"/>
  <c r="B17" i="4"/>
  <c r="F16" i="4"/>
  <c r="E16" i="4"/>
  <c r="D16" i="4"/>
  <c r="C16" i="4"/>
  <c r="B16" i="4"/>
  <c r="F15" i="4"/>
  <c r="E15" i="4"/>
  <c r="D15" i="4"/>
  <c r="C15" i="4"/>
  <c r="B15" i="4"/>
  <c r="F14" i="4"/>
  <c r="E14" i="4"/>
  <c r="D14" i="4"/>
  <c r="C14" i="4"/>
  <c r="B14" i="4"/>
  <c r="F13" i="4"/>
  <c r="E13" i="4"/>
  <c r="D13" i="4"/>
  <c r="C13" i="4"/>
  <c r="B13" i="4"/>
  <c r="F12" i="4"/>
  <c r="E12" i="4"/>
  <c r="D12" i="4"/>
  <c r="C12" i="4"/>
  <c r="B12" i="4"/>
  <c r="F11" i="4"/>
  <c r="E11" i="4"/>
  <c r="D11" i="4"/>
  <c r="C11" i="4"/>
  <c r="B11" i="4"/>
  <c r="F10" i="4"/>
  <c r="E10" i="4"/>
  <c r="D10" i="4"/>
  <c r="C10" i="4"/>
  <c r="B10" i="4"/>
  <c r="F9" i="4"/>
  <c r="E9" i="4"/>
  <c r="D9" i="4"/>
  <c r="C9" i="4"/>
  <c r="B9" i="4"/>
  <c r="F8" i="4"/>
  <c r="E8" i="4"/>
  <c r="D8" i="4"/>
  <c r="C8" i="4"/>
  <c r="B8" i="4"/>
  <c r="F7" i="4"/>
  <c r="E7" i="4"/>
  <c r="D7" i="4"/>
  <c r="C7" i="4"/>
  <c r="B7" i="4"/>
  <c r="F6" i="4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  <c r="P85" i="3"/>
  <c r="O85" i="3"/>
  <c r="N85" i="3"/>
  <c r="L85" i="3"/>
  <c r="I85" i="3"/>
  <c r="H85" i="3"/>
  <c r="J85" i="3" s="1"/>
  <c r="G85" i="3"/>
  <c r="F85" i="3"/>
  <c r="E85" i="3"/>
  <c r="K85" i="3" s="1"/>
  <c r="M85" i="3" s="1"/>
  <c r="D85" i="3"/>
  <c r="C85" i="3"/>
  <c r="B85" i="3"/>
  <c r="A85" i="3"/>
  <c r="P84" i="3"/>
  <c r="G57" i="4" s="1"/>
  <c r="H57" i="4" s="1"/>
  <c r="O84" i="3"/>
  <c r="N84" i="3"/>
  <c r="F84" i="3"/>
  <c r="L84" i="3" s="1"/>
  <c r="E84" i="3"/>
  <c r="K84" i="3" s="1"/>
  <c r="M84" i="3" s="1"/>
  <c r="D84" i="3"/>
  <c r="C84" i="3"/>
  <c r="B84" i="3"/>
  <c r="A84" i="3"/>
  <c r="P83" i="3"/>
  <c r="G56" i="4" s="1"/>
  <c r="H56" i="4" s="1"/>
  <c r="O83" i="3"/>
  <c r="N83" i="3"/>
  <c r="L83" i="3"/>
  <c r="F83" i="3"/>
  <c r="I83" i="3" s="1"/>
  <c r="E83" i="3"/>
  <c r="K83" i="3" s="1"/>
  <c r="M83" i="3" s="1"/>
  <c r="D83" i="3"/>
  <c r="C83" i="3"/>
  <c r="B83" i="3"/>
  <c r="A83" i="3"/>
  <c r="P82" i="3"/>
  <c r="G55" i="4" s="1"/>
  <c r="H55" i="4" s="1"/>
  <c r="O82" i="3"/>
  <c r="N82" i="3"/>
  <c r="L82" i="3"/>
  <c r="K82" i="3"/>
  <c r="M82" i="3" s="1"/>
  <c r="J82" i="3"/>
  <c r="I82" i="3"/>
  <c r="H82" i="3"/>
  <c r="G82" i="3"/>
  <c r="F82" i="3"/>
  <c r="E82" i="3"/>
  <c r="D82" i="3"/>
  <c r="C82" i="3"/>
  <c r="B82" i="3"/>
  <c r="A82" i="3"/>
  <c r="P81" i="3"/>
  <c r="O81" i="3"/>
  <c r="N81" i="3"/>
  <c r="L81" i="3"/>
  <c r="K81" i="3"/>
  <c r="M81" i="3" s="1"/>
  <c r="F81" i="3"/>
  <c r="I81" i="3" s="1"/>
  <c r="E81" i="3"/>
  <c r="H81" i="3" s="1"/>
  <c r="J81" i="3" s="1"/>
  <c r="D81" i="3"/>
  <c r="C81" i="3"/>
  <c r="B81" i="3"/>
  <c r="A81" i="3"/>
  <c r="P80" i="3"/>
  <c r="O80" i="3"/>
  <c r="N80" i="3"/>
  <c r="L80" i="3"/>
  <c r="I80" i="3"/>
  <c r="H80" i="3"/>
  <c r="J80" i="3" s="1"/>
  <c r="G80" i="3"/>
  <c r="F80" i="3"/>
  <c r="E80" i="3"/>
  <c r="K80" i="3" s="1"/>
  <c r="M80" i="3" s="1"/>
  <c r="D80" i="3"/>
  <c r="C80" i="3"/>
  <c r="B80" i="3"/>
  <c r="A80" i="3"/>
  <c r="P79" i="3"/>
  <c r="O79" i="3"/>
  <c r="N79" i="3"/>
  <c r="F79" i="3"/>
  <c r="I79" i="3" s="1"/>
  <c r="E79" i="3"/>
  <c r="K79" i="3" s="1"/>
  <c r="D79" i="3"/>
  <c r="C79" i="3"/>
  <c r="B79" i="3"/>
  <c r="A79" i="3"/>
  <c r="P78" i="3"/>
  <c r="G51" i="4" s="1"/>
  <c r="H51" i="4" s="1"/>
  <c r="O78" i="3"/>
  <c r="N78" i="3"/>
  <c r="L78" i="3"/>
  <c r="F78" i="3"/>
  <c r="I78" i="3" s="1"/>
  <c r="E78" i="3"/>
  <c r="K78" i="3" s="1"/>
  <c r="M78" i="3" s="1"/>
  <c r="D78" i="3"/>
  <c r="C78" i="3"/>
  <c r="B78" i="3"/>
  <c r="A78" i="3"/>
  <c r="P77" i="3"/>
  <c r="G50" i="4" s="1"/>
  <c r="H50" i="4" s="1"/>
  <c r="O77" i="3"/>
  <c r="N77" i="3"/>
  <c r="L77" i="3"/>
  <c r="K77" i="3"/>
  <c r="M77" i="3" s="1"/>
  <c r="J77" i="3"/>
  <c r="I77" i="3"/>
  <c r="H77" i="3"/>
  <c r="G77" i="3"/>
  <c r="F77" i="3"/>
  <c r="E77" i="3"/>
  <c r="D77" i="3"/>
  <c r="C77" i="3"/>
  <c r="B77" i="3"/>
  <c r="A77" i="3"/>
  <c r="P76" i="3"/>
  <c r="G49" i="4" s="1"/>
  <c r="H49" i="4" s="1"/>
  <c r="O76" i="3"/>
  <c r="N76" i="3"/>
  <c r="L76" i="3"/>
  <c r="K76" i="3"/>
  <c r="M76" i="3" s="1"/>
  <c r="F76" i="3"/>
  <c r="I76" i="3" s="1"/>
  <c r="E76" i="3"/>
  <c r="H76" i="3" s="1"/>
  <c r="J76" i="3" s="1"/>
  <c r="D76" i="3"/>
  <c r="C76" i="3"/>
  <c r="B76" i="3"/>
  <c r="A76" i="3"/>
  <c r="P75" i="3"/>
  <c r="O75" i="3"/>
  <c r="N75" i="3"/>
  <c r="L75" i="3"/>
  <c r="I75" i="3"/>
  <c r="H75" i="3"/>
  <c r="J75" i="3" s="1"/>
  <c r="G75" i="3"/>
  <c r="F75" i="3"/>
  <c r="E75" i="3"/>
  <c r="K75" i="3" s="1"/>
  <c r="M75" i="3" s="1"/>
  <c r="D75" i="3"/>
  <c r="C75" i="3"/>
  <c r="B75" i="3"/>
  <c r="A75" i="3"/>
  <c r="P74" i="3"/>
  <c r="G47" i="4" s="1"/>
  <c r="H47" i="4" s="1"/>
  <c r="O74" i="3"/>
  <c r="N74" i="3"/>
  <c r="F74" i="3"/>
  <c r="I74" i="3" s="1"/>
  <c r="E74" i="3"/>
  <c r="K74" i="3" s="1"/>
  <c r="D74" i="3"/>
  <c r="C74" i="3"/>
  <c r="B74" i="3"/>
  <c r="A74" i="3"/>
  <c r="P73" i="3"/>
  <c r="G46" i="4" s="1"/>
  <c r="H46" i="4" s="1"/>
  <c r="O73" i="3"/>
  <c r="N73" i="3"/>
  <c r="L73" i="3"/>
  <c r="F73" i="3"/>
  <c r="I73" i="3" s="1"/>
  <c r="E73" i="3"/>
  <c r="K73" i="3" s="1"/>
  <c r="M73" i="3" s="1"/>
  <c r="D73" i="3"/>
  <c r="C73" i="3"/>
  <c r="B73" i="3"/>
  <c r="A73" i="3"/>
  <c r="P72" i="3"/>
  <c r="G45" i="4" s="1"/>
  <c r="H45" i="4" s="1"/>
  <c r="O72" i="3"/>
  <c r="N72" i="3"/>
  <c r="L72" i="3"/>
  <c r="K72" i="3"/>
  <c r="M72" i="3" s="1"/>
  <c r="J72" i="3"/>
  <c r="I72" i="3"/>
  <c r="H72" i="3"/>
  <c r="G72" i="3"/>
  <c r="F72" i="3"/>
  <c r="E72" i="3"/>
  <c r="D72" i="3"/>
  <c r="C72" i="3"/>
  <c r="B72" i="3"/>
  <c r="A72" i="3"/>
  <c r="P71" i="3"/>
  <c r="G44" i="4" s="1"/>
  <c r="H44" i="4" s="1"/>
  <c r="O71" i="3"/>
  <c r="N71" i="3"/>
  <c r="L71" i="3"/>
  <c r="K71" i="3"/>
  <c r="M71" i="3" s="1"/>
  <c r="F71" i="3"/>
  <c r="I71" i="3" s="1"/>
  <c r="E71" i="3"/>
  <c r="H71" i="3" s="1"/>
  <c r="J71" i="3" s="1"/>
  <c r="D71" i="3"/>
  <c r="C71" i="3"/>
  <c r="B71" i="3"/>
  <c r="A71" i="3"/>
  <c r="P70" i="3"/>
  <c r="O70" i="3"/>
  <c r="N70" i="3"/>
  <c r="L70" i="3"/>
  <c r="I70" i="3"/>
  <c r="H70" i="3"/>
  <c r="J70" i="3" s="1"/>
  <c r="G70" i="3"/>
  <c r="F70" i="3"/>
  <c r="E70" i="3"/>
  <c r="K70" i="3" s="1"/>
  <c r="M70" i="3" s="1"/>
  <c r="D70" i="3"/>
  <c r="C70" i="3"/>
  <c r="B70" i="3"/>
  <c r="A70" i="3"/>
  <c r="P69" i="3"/>
  <c r="G42" i="4" s="1"/>
  <c r="H42" i="4" s="1"/>
  <c r="O69" i="3"/>
  <c r="N69" i="3"/>
  <c r="F69" i="3"/>
  <c r="I69" i="3" s="1"/>
  <c r="E69" i="3"/>
  <c r="K69" i="3" s="1"/>
  <c r="D69" i="3"/>
  <c r="C69" i="3"/>
  <c r="B69" i="3"/>
  <c r="A69" i="3"/>
  <c r="P68" i="3"/>
  <c r="G41" i="4" s="1"/>
  <c r="H41" i="4" s="1"/>
  <c r="O68" i="3"/>
  <c r="N68" i="3"/>
  <c r="M68" i="3"/>
  <c r="L68" i="3"/>
  <c r="K68" i="3"/>
  <c r="F68" i="3"/>
  <c r="I68" i="3" s="1"/>
  <c r="E68" i="3"/>
  <c r="H68" i="3" s="1"/>
  <c r="J68" i="3" s="1"/>
  <c r="D68" i="3"/>
  <c r="C68" i="3"/>
  <c r="B68" i="3"/>
  <c r="A68" i="3"/>
  <c r="P67" i="3"/>
  <c r="G40" i="4" s="1"/>
  <c r="H40" i="4" s="1"/>
  <c r="O67" i="3"/>
  <c r="N67" i="3"/>
  <c r="L67" i="3"/>
  <c r="K67" i="3"/>
  <c r="M67" i="3" s="1"/>
  <c r="J67" i="3"/>
  <c r="I67" i="3"/>
  <c r="H67" i="3"/>
  <c r="G67" i="3"/>
  <c r="F67" i="3"/>
  <c r="E67" i="3"/>
  <c r="D67" i="3"/>
  <c r="C67" i="3"/>
  <c r="B67" i="3"/>
  <c r="A67" i="3"/>
  <c r="P66" i="3"/>
  <c r="G39" i="4" s="1"/>
  <c r="H39" i="4" s="1"/>
  <c r="O66" i="3"/>
  <c r="N66" i="3"/>
  <c r="L66" i="3"/>
  <c r="K66" i="3"/>
  <c r="M66" i="3" s="1"/>
  <c r="F66" i="3"/>
  <c r="I66" i="3" s="1"/>
  <c r="E66" i="3"/>
  <c r="H66" i="3" s="1"/>
  <c r="J66" i="3" s="1"/>
  <c r="D66" i="3"/>
  <c r="C66" i="3"/>
  <c r="B66" i="3"/>
  <c r="A66" i="3"/>
  <c r="P65" i="3"/>
  <c r="O65" i="3"/>
  <c r="N65" i="3"/>
  <c r="M65" i="3"/>
  <c r="L65" i="3"/>
  <c r="K65" i="3"/>
  <c r="I65" i="3"/>
  <c r="H65" i="3"/>
  <c r="J65" i="3" s="1"/>
  <c r="G65" i="3"/>
  <c r="F65" i="3"/>
  <c r="E65" i="3"/>
  <c r="D65" i="3"/>
  <c r="C65" i="3"/>
  <c r="B65" i="3"/>
  <c r="A65" i="3"/>
  <c r="P64" i="3"/>
  <c r="G37" i="4" s="1"/>
  <c r="H37" i="4" s="1"/>
  <c r="O64" i="3"/>
  <c r="N64" i="3"/>
  <c r="F64" i="3"/>
  <c r="I64" i="3" s="1"/>
  <c r="E64" i="3"/>
  <c r="K64" i="3" s="1"/>
  <c r="D64" i="3"/>
  <c r="C64" i="3"/>
  <c r="B64" i="3"/>
  <c r="A64" i="3"/>
  <c r="P63" i="3"/>
  <c r="G36" i="4" s="1"/>
  <c r="H36" i="4" s="1"/>
  <c r="O63" i="3"/>
  <c r="N63" i="3"/>
  <c r="M63" i="3"/>
  <c r="L63" i="3"/>
  <c r="K63" i="3"/>
  <c r="F63" i="3"/>
  <c r="I63" i="3" s="1"/>
  <c r="E63" i="3"/>
  <c r="H63" i="3" s="1"/>
  <c r="J63" i="3" s="1"/>
  <c r="D63" i="3"/>
  <c r="C63" i="3"/>
  <c r="B63" i="3"/>
  <c r="A63" i="3"/>
  <c r="P62" i="3"/>
  <c r="G35" i="4" s="1"/>
  <c r="H35" i="4" s="1"/>
  <c r="O62" i="3"/>
  <c r="N62" i="3"/>
  <c r="L62" i="3"/>
  <c r="K62" i="3"/>
  <c r="M62" i="3" s="1"/>
  <c r="I62" i="3"/>
  <c r="J62" i="3" s="1"/>
  <c r="H62" i="3"/>
  <c r="G62" i="3"/>
  <c r="F62" i="3"/>
  <c r="E62" i="3"/>
  <c r="D62" i="3"/>
  <c r="C62" i="3"/>
  <c r="B62" i="3"/>
  <c r="A62" i="3"/>
  <c r="P61" i="3"/>
  <c r="O61" i="3"/>
  <c r="N61" i="3"/>
  <c r="L61" i="3"/>
  <c r="K61" i="3"/>
  <c r="M61" i="3" s="1"/>
  <c r="F61" i="3"/>
  <c r="I61" i="3" s="1"/>
  <c r="E61" i="3"/>
  <c r="G61" i="3" s="1"/>
  <c r="D61" i="3"/>
  <c r="C61" i="3"/>
  <c r="B61" i="3"/>
  <c r="A61" i="3"/>
  <c r="P60" i="3"/>
  <c r="O60" i="3"/>
  <c r="N60" i="3"/>
  <c r="L60" i="3"/>
  <c r="K60" i="3"/>
  <c r="M60" i="3" s="1"/>
  <c r="I60" i="3"/>
  <c r="H60" i="3"/>
  <c r="J60" i="3" s="1"/>
  <c r="G60" i="3"/>
  <c r="F60" i="3"/>
  <c r="E60" i="3"/>
  <c r="D60" i="3"/>
  <c r="C60" i="3"/>
  <c r="B60" i="3"/>
  <c r="A60" i="3"/>
  <c r="P59" i="3"/>
  <c r="O59" i="3"/>
  <c r="N59" i="3"/>
  <c r="F59" i="3"/>
  <c r="I59" i="3" s="1"/>
  <c r="E59" i="3"/>
  <c r="K59" i="3" s="1"/>
  <c r="D59" i="3"/>
  <c r="C59" i="3"/>
  <c r="B59" i="3"/>
  <c r="A59" i="3"/>
  <c r="P58" i="3"/>
  <c r="G31" i="4" s="1"/>
  <c r="H31" i="4" s="1"/>
  <c r="O58" i="3"/>
  <c r="N58" i="3"/>
  <c r="M58" i="3"/>
  <c r="L58" i="3"/>
  <c r="K58" i="3"/>
  <c r="F58" i="3"/>
  <c r="I58" i="3" s="1"/>
  <c r="E58" i="3"/>
  <c r="H58" i="3" s="1"/>
  <c r="J58" i="3" s="1"/>
  <c r="D58" i="3"/>
  <c r="C58" i="3"/>
  <c r="B58" i="3"/>
  <c r="A58" i="3"/>
  <c r="P57" i="3"/>
  <c r="G30" i="4" s="1"/>
  <c r="H30" i="4" s="1"/>
  <c r="O57" i="3"/>
  <c r="N57" i="3"/>
  <c r="L57" i="3"/>
  <c r="K57" i="3"/>
  <c r="M57" i="3" s="1"/>
  <c r="I57" i="3"/>
  <c r="J57" i="3" s="1"/>
  <c r="H57" i="3"/>
  <c r="G57" i="3"/>
  <c r="F57" i="3"/>
  <c r="E57" i="3"/>
  <c r="D57" i="3"/>
  <c r="C57" i="3"/>
  <c r="B57" i="3"/>
  <c r="A57" i="3"/>
  <c r="P56" i="3"/>
  <c r="G29" i="4" s="1"/>
  <c r="H29" i="4" s="1"/>
  <c r="O56" i="3"/>
  <c r="N56" i="3"/>
  <c r="L56" i="3"/>
  <c r="K56" i="3"/>
  <c r="M56" i="3" s="1"/>
  <c r="F56" i="3"/>
  <c r="I56" i="3" s="1"/>
  <c r="E56" i="3"/>
  <c r="H56" i="3" s="1"/>
  <c r="D56" i="3"/>
  <c r="C56" i="3"/>
  <c r="B56" i="3"/>
  <c r="A56" i="3"/>
  <c r="P55" i="3"/>
  <c r="O55" i="3"/>
  <c r="N55" i="3"/>
  <c r="L55" i="3"/>
  <c r="K55" i="3"/>
  <c r="M55" i="3" s="1"/>
  <c r="I55" i="3"/>
  <c r="H55" i="3"/>
  <c r="J55" i="3" s="1"/>
  <c r="G55" i="3"/>
  <c r="F55" i="3"/>
  <c r="E55" i="3"/>
  <c r="D55" i="3"/>
  <c r="C55" i="3"/>
  <c r="B55" i="3"/>
  <c r="A55" i="3"/>
  <c r="P54" i="3"/>
  <c r="G27" i="4" s="1"/>
  <c r="H27" i="4" s="1"/>
  <c r="O54" i="3"/>
  <c r="N54" i="3"/>
  <c r="F54" i="3"/>
  <c r="I54" i="3" s="1"/>
  <c r="E54" i="3"/>
  <c r="K54" i="3" s="1"/>
  <c r="D54" i="3"/>
  <c r="C54" i="3"/>
  <c r="B54" i="3"/>
  <c r="A54" i="3"/>
  <c r="P53" i="3"/>
  <c r="G26" i="4" s="1"/>
  <c r="H26" i="4" s="1"/>
  <c r="O53" i="3"/>
  <c r="N53" i="3"/>
  <c r="M53" i="3"/>
  <c r="L53" i="3"/>
  <c r="K53" i="3"/>
  <c r="H53" i="3"/>
  <c r="F53" i="3"/>
  <c r="I53" i="3" s="1"/>
  <c r="E53" i="3"/>
  <c r="G53" i="3" s="1"/>
  <c r="D53" i="3"/>
  <c r="C53" i="3"/>
  <c r="B53" i="3"/>
  <c r="A53" i="3"/>
  <c r="P52" i="3"/>
  <c r="G25" i="4" s="1"/>
  <c r="H25" i="4" s="1"/>
  <c r="O52" i="3"/>
  <c r="N52" i="3"/>
  <c r="L52" i="3"/>
  <c r="K52" i="3"/>
  <c r="M52" i="3" s="1"/>
  <c r="I52" i="3"/>
  <c r="J52" i="3" s="1"/>
  <c r="H52" i="3"/>
  <c r="G52" i="3"/>
  <c r="F52" i="3"/>
  <c r="E52" i="3"/>
  <c r="D52" i="3"/>
  <c r="C52" i="3"/>
  <c r="B52" i="3"/>
  <c r="A52" i="3"/>
  <c r="P51" i="3"/>
  <c r="G24" i="4" s="1"/>
  <c r="H24" i="4" s="1"/>
  <c r="O51" i="3"/>
  <c r="N51" i="3"/>
  <c r="L51" i="3"/>
  <c r="K51" i="3"/>
  <c r="M51" i="3" s="1"/>
  <c r="F51" i="3"/>
  <c r="I51" i="3" s="1"/>
  <c r="E51" i="3"/>
  <c r="G51" i="3" s="1"/>
  <c r="D51" i="3"/>
  <c r="C51" i="3"/>
  <c r="B51" i="3"/>
  <c r="A51" i="3"/>
  <c r="P50" i="3"/>
  <c r="O50" i="3"/>
  <c r="N50" i="3"/>
  <c r="L50" i="3"/>
  <c r="K50" i="3"/>
  <c r="M50" i="3" s="1"/>
  <c r="I50" i="3"/>
  <c r="H50" i="3"/>
  <c r="J50" i="3" s="1"/>
  <c r="G50" i="3"/>
  <c r="F50" i="3"/>
  <c r="E50" i="3"/>
  <c r="D50" i="3"/>
  <c r="C50" i="3"/>
  <c r="B50" i="3"/>
  <c r="A50" i="3"/>
  <c r="P49" i="3"/>
  <c r="G22" i="4" s="1"/>
  <c r="H22" i="4" s="1"/>
  <c r="O49" i="3"/>
  <c r="N49" i="3"/>
  <c r="F49" i="3"/>
  <c r="L49" i="3" s="1"/>
  <c r="E49" i="3"/>
  <c r="K49" i="3" s="1"/>
  <c r="M49" i="3" s="1"/>
  <c r="D49" i="3"/>
  <c r="C49" i="3"/>
  <c r="B49" i="3"/>
  <c r="A49" i="3"/>
  <c r="P48" i="3"/>
  <c r="G21" i="4" s="1"/>
  <c r="H21" i="4" s="1"/>
  <c r="O48" i="3"/>
  <c r="N48" i="3"/>
  <c r="N86" i="3" s="1"/>
  <c r="M48" i="3"/>
  <c r="L48" i="3"/>
  <c r="K48" i="3"/>
  <c r="F48" i="3"/>
  <c r="I48" i="3" s="1"/>
  <c r="E48" i="3"/>
  <c r="H48" i="3" s="1"/>
  <c r="J48" i="3" s="1"/>
  <c r="D48" i="3"/>
  <c r="C48" i="3"/>
  <c r="B48" i="3"/>
  <c r="A48" i="3"/>
  <c r="P47" i="3"/>
  <c r="P86" i="3" s="1"/>
  <c r="O47" i="3"/>
  <c r="O86" i="3" s="1"/>
  <c r="N47" i="3"/>
  <c r="L47" i="3"/>
  <c r="K47" i="3"/>
  <c r="M47" i="3" s="1"/>
  <c r="I47" i="3"/>
  <c r="J47" i="3" s="1"/>
  <c r="H47" i="3"/>
  <c r="G47" i="3"/>
  <c r="F47" i="3"/>
  <c r="E47" i="3"/>
  <c r="D47" i="3"/>
  <c r="C47" i="3"/>
  <c r="B47" i="3"/>
  <c r="A47" i="3"/>
  <c r="H39" i="2"/>
  <c r="G19" i="4" s="1"/>
  <c r="H19" i="4" s="1"/>
  <c r="E39" i="2"/>
  <c r="G39" i="2" s="1"/>
  <c r="D39" i="2"/>
  <c r="F39" i="2" s="1"/>
  <c r="C39" i="2"/>
  <c r="B39" i="2"/>
  <c r="A39" i="2"/>
  <c r="H38" i="2"/>
  <c r="F38" i="2"/>
  <c r="E38" i="2"/>
  <c r="G38" i="2" s="1"/>
  <c r="D38" i="2"/>
  <c r="C38" i="2"/>
  <c r="B38" i="2"/>
  <c r="A38" i="2"/>
  <c r="E37" i="2"/>
  <c r="G37" i="2" s="1"/>
  <c r="D37" i="2"/>
  <c r="H37" i="2" s="1"/>
  <c r="G17" i="4" s="1"/>
  <c r="H17" i="4" s="1"/>
  <c r="C37" i="2"/>
  <c r="B37" i="2"/>
  <c r="A37" i="2"/>
  <c r="G36" i="2"/>
  <c r="F36" i="2"/>
  <c r="E36" i="2"/>
  <c r="H36" i="2" s="1"/>
  <c r="G16" i="4" s="1"/>
  <c r="H16" i="4" s="1"/>
  <c r="D36" i="2"/>
  <c r="C36" i="2"/>
  <c r="B36" i="2"/>
  <c r="A36" i="2"/>
  <c r="E35" i="2"/>
  <c r="G35" i="2" s="1"/>
  <c r="D35" i="2"/>
  <c r="F35" i="2" s="1"/>
  <c r="C35" i="2"/>
  <c r="B35" i="2"/>
  <c r="A35" i="2"/>
  <c r="H34" i="2"/>
  <c r="G14" i="4" s="1"/>
  <c r="H14" i="4" s="1"/>
  <c r="E34" i="2"/>
  <c r="G34" i="2" s="1"/>
  <c r="D34" i="2"/>
  <c r="F34" i="2" s="1"/>
  <c r="C34" i="2"/>
  <c r="B34" i="2"/>
  <c r="A34" i="2"/>
  <c r="H33" i="2"/>
  <c r="G13" i="4" s="1"/>
  <c r="H13" i="4" s="1"/>
  <c r="F33" i="2"/>
  <c r="E33" i="2"/>
  <c r="G33" i="2" s="1"/>
  <c r="D33" i="2"/>
  <c r="C33" i="2"/>
  <c r="B33" i="2"/>
  <c r="A33" i="2"/>
  <c r="E32" i="2"/>
  <c r="G32" i="2" s="1"/>
  <c r="D32" i="2"/>
  <c r="H32" i="2" s="1"/>
  <c r="G12" i="4" s="1"/>
  <c r="H12" i="4" s="1"/>
  <c r="C32" i="2"/>
  <c r="B32" i="2"/>
  <c r="A32" i="2"/>
  <c r="G31" i="2"/>
  <c r="F31" i="2"/>
  <c r="E31" i="2"/>
  <c r="H31" i="2" s="1"/>
  <c r="G11" i="4" s="1"/>
  <c r="H11" i="4" s="1"/>
  <c r="D31" i="2"/>
  <c r="C31" i="2"/>
  <c r="B31" i="2"/>
  <c r="A31" i="2"/>
  <c r="E30" i="2"/>
  <c r="G30" i="2" s="1"/>
  <c r="D30" i="2"/>
  <c r="F30" i="2" s="1"/>
  <c r="C30" i="2"/>
  <c r="B30" i="2"/>
  <c r="A30" i="2"/>
  <c r="H29" i="2"/>
  <c r="G9" i="4" s="1"/>
  <c r="H9" i="4" s="1"/>
  <c r="E29" i="2"/>
  <c r="G29" i="2" s="1"/>
  <c r="D29" i="2"/>
  <c r="F29" i="2" s="1"/>
  <c r="C29" i="2"/>
  <c r="B29" i="2"/>
  <c r="A29" i="2"/>
  <c r="H28" i="2"/>
  <c r="G8" i="4" s="1"/>
  <c r="H8" i="4" s="1"/>
  <c r="F28" i="2"/>
  <c r="E28" i="2"/>
  <c r="G28" i="2" s="1"/>
  <c r="D28" i="2"/>
  <c r="C28" i="2"/>
  <c r="B28" i="2"/>
  <c r="A28" i="2"/>
  <c r="E27" i="2"/>
  <c r="G27" i="2" s="1"/>
  <c r="D27" i="2"/>
  <c r="H27" i="2" s="1"/>
  <c r="G7" i="4" s="1"/>
  <c r="H7" i="4" s="1"/>
  <c r="C27" i="2"/>
  <c r="B27" i="2"/>
  <c r="A27" i="2"/>
  <c r="G26" i="2"/>
  <c r="F26" i="2"/>
  <c r="E26" i="2"/>
  <c r="H26" i="2" s="1"/>
  <c r="G6" i="4" s="1"/>
  <c r="H6" i="4" s="1"/>
  <c r="D26" i="2"/>
  <c r="C26" i="2"/>
  <c r="B26" i="2"/>
  <c r="A26" i="2"/>
  <c r="E25" i="2"/>
  <c r="G25" i="2" s="1"/>
  <c r="D25" i="2"/>
  <c r="H25" i="2" s="1"/>
  <c r="G5" i="4" s="1"/>
  <c r="H5" i="4" s="1"/>
  <c r="C25" i="2"/>
  <c r="B25" i="2"/>
  <c r="A25" i="2"/>
  <c r="H24" i="2"/>
  <c r="E24" i="2"/>
  <c r="G24" i="2" s="1"/>
  <c r="D24" i="2"/>
  <c r="F24" i="2" s="1"/>
  <c r="C24" i="2"/>
  <c r="B24" i="2"/>
  <c r="A24" i="2"/>
  <c r="J53" i="3" l="1"/>
  <c r="H86" i="3"/>
  <c r="B6" i="5" s="1"/>
  <c r="G40" i="2"/>
  <c r="J56" i="3"/>
  <c r="E40" i="2"/>
  <c r="C5" i="5" s="1"/>
  <c r="G49" i="3"/>
  <c r="G54" i="3"/>
  <c r="G59" i="3"/>
  <c r="G64" i="3"/>
  <c r="G69" i="3"/>
  <c r="G74" i="3"/>
  <c r="G79" i="3"/>
  <c r="G84" i="3"/>
  <c r="G4" i="4"/>
  <c r="H4" i="4" s="1"/>
  <c r="D40" i="2"/>
  <c r="B5" i="5" s="1"/>
  <c r="F37" i="2"/>
  <c r="H49" i="3"/>
  <c r="H54" i="3"/>
  <c r="J54" i="3" s="1"/>
  <c r="H59" i="3"/>
  <c r="J59" i="3" s="1"/>
  <c r="H64" i="3"/>
  <c r="J64" i="3" s="1"/>
  <c r="H69" i="3"/>
  <c r="J69" i="3" s="1"/>
  <c r="H74" i="3"/>
  <c r="J74" i="3" s="1"/>
  <c r="H79" i="3"/>
  <c r="J79" i="3" s="1"/>
  <c r="H84" i="3"/>
  <c r="I84" i="3"/>
  <c r="F32" i="2"/>
  <c r="F25" i="2"/>
  <c r="F40" i="2" s="1"/>
  <c r="I49" i="3"/>
  <c r="I86" i="3" s="1"/>
  <c r="C6" i="5" s="1"/>
  <c r="H30" i="2"/>
  <c r="G10" i="4" s="1"/>
  <c r="H10" i="4" s="1"/>
  <c r="H35" i="2"/>
  <c r="G15" i="4" s="1"/>
  <c r="H15" i="4" s="1"/>
  <c r="G48" i="3"/>
  <c r="G58" i="3"/>
  <c r="G63" i="3"/>
  <c r="G68" i="3"/>
  <c r="G73" i="3"/>
  <c r="G78" i="3"/>
  <c r="G83" i="3"/>
  <c r="L54" i="3"/>
  <c r="M54" i="3" s="1"/>
  <c r="L59" i="3"/>
  <c r="M59" i="3" s="1"/>
  <c r="L64" i="3"/>
  <c r="M64" i="3" s="1"/>
  <c r="L69" i="3"/>
  <c r="M69" i="3" s="1"/>
  <c r="H73" i="3"/>
  <c r="J73" i="3" s="1"/>
  <c r="L74" i="3"/>
  <c r="L86" i="3" s="1"/>
  <c r="C7" i="5" s="1"/>
  <c r="H78" i="3"/>
  <c r="J78" i="3" s="1"/>
  <c r="L79" i="3"/>
  <c r="M79" i="3" s="1"/>
  <c r="H83" i="3"/>
  <c r="J83" i="3" s="1"/>
  <c r="F27" i="2"/>
  <c r="K86" i="3"/>
  <c r="B7" i="5" s="1"/>
  <c r="G66" i="3"/>
  <c r="G76" i="3"/>
  <c r="G81" i="3"/>
  <c r="G20" i="4"/>
  <c r="H20" i="4" s="1"/>
  <c r="H61" i="3"/>
  <c r="J61" i="3" s="1"/>
  <c r="G71" i="3"/>
  <c r="H51" i="3"/>
  <c r="J51" i="3" s="1"/>
  <c r="G56" i="3"/>
  <c r="D6" i="5" l="1"/>
  <c r="E6" i="5" s="1"/>
  <c r="C8" i="5"/>
  <c r="J84" i="3"/>
  <c r="H40" i="2"/>
  <c r="D7" i="5"/>
  <c r="E7" i="5" s="1"/>
  <c r="J49" i="3"/>
  <c r="J86" i="3" s="1"/>
  <c r="B8" i="5"/>
  <c r="D5" i="5"/>
  <c r="E5" i="5" s="1"/>
  <c r="M74" i="3"/>
  <c r="M86" i="3" s="1"/>
  <c r="D20" i="5"/>
  <c r="D15" i="5"/>
  <c r="C20" i="5"/>
  <c r="G17" i="5"/>
  <c r="C15" i="5"/>
  <c r="A18" i="5"/>
  <c r="G22" i="5"/>
  <c r="F22" i="5"/>
  <c r="B20" i="5"/>
  <c r="F17" i="5"/>
  <c r="B15" i="5"/>
  <c r="E22" i="5"/>
  <c r="A20" i="5"/>
  <c r="E17" i="5"/>
  <c r="A15" i="5"/>
  <c r="D22" i="5"/>
  <c r="D17" i="5"/>
  <c r="C22" i="5"/>
  <c r="G19" i="5"/>
  <c r="C17" i="5"/>
  <c r="G14" i="5"/>
  <c r="B22" i="5"/>
  <c r="F19" i="5"/>
  <c r="B17" i="5"/>
  <c r="F14" i="5"/>
  <c r="A22" i="5"/>
  <c r="E19" i="5"/>
  <c r="A17" i="5"/>
  <c r="E14" i="5"/>
  <c r="B13" i="5"/>
  <c r="D19" i="5"/>
  <c r="D14" i="5"/>
  <c r="D18" i="5"/>
  <c r="C13" i="5"/>
  <c r="A13" i="5"/>
  <c r="G21" i="5"/>
  <c r="C19" i="5"/>
  <c r="G16" i="5"/>
  <c r="C14" i="5"/>
  <c r="G20" i="5"/>
  <c r="B18" i="5"/>
  <c r="F21" i="5"/>
  <c r="B19" i="5"/>
  <c r="F16" i="5"/>
  <c r="B14" i="5"/>
  <c r="E15" i="5"/>
  <c r="E21" i="5"/>
  <c r="A19" i="5"/>
  <c r="E16" i="5"/>
  <c r="A14" i="5"/>
  <c r="D16" i="5"/>
  <c r="D13" i="5"/>
  <c r="D21" i="5"/>
  <c r="C21" i="5"/>
  <c r="G18" i="5"/>
  <c r="C16" i="5"/>
  <c r="G13" i="5"/>
  <c r="B21" i="5"/>
  <c r="F18" i="5"/>
  <c r="B16" i="5"/>
  <c r="F13" i="5"/>
  <c r="C18" i="5"/>
  <c r="F15" i="5"/>
  <c r="E20" i="5"/>
  <c r="A21" i="5"/>
  <c r="E18" i="5"/>
  <c r="A16" i="5"/>
  <c r="E13" i="5"/>
  <c r="G15" i="5"/>
  <c r="F20" i="5"/>
  <c r="D8" i="5" l="1"/>
  <c r="H22" i="5" l="1"/>
  <c r="H17" i="5"/>
  <c r="H19" i="5"/>
  <c r="H14" i="5"/>
  <c r="H21" i="5"/>
  <c r="H16" i="5"/>
  <c r="H20" i="5"/>
  <c r="H18" i="5"/>
  <c r="H13" i="5"/>
  <c r="H15" i="5"/>
  <c r="E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Unit of Measure</t>
        </r>
      </text>
    </comment>
    <comment ref="D8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Effective start date of standard labor and burden rates (YYYY-MM-DD)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Unit of Measure</t>
        </r>
      </text>
    </comment>
    <comment ref="D2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Consumption * Base Price * (1 + Base Loss%)</t>
        </r>
      </text>
    </comment>
    <comment ref="E23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Consumption * Active Price * (1 + Active Loss%)</t>
        </r>
      </text>
    </comment>
    <comment ref="F23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(Active Price - Base Price) * Consumption * (1 + Active Loss%)</t>
        </r>
      </text>
    </comment>
    <comment ref="G23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(Active Loss% - Base Loss%) * Consumption * Base Price</t>
        </r>
      </text>
    </comment>
    <comment ref="H23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Active Cost - Base Cost = Price Var + Loss Var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Machine and Man working hour</t>
        </r>
      </text>
    </comment>
    <comment ref="E4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MHr / (Base Capacity * Base Yield%)</t>
        </r>
      </text>
    </comment>
    <comment ref="F46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MHr / (Active Capacity * Active Yield%)</t>
        </r>
      </text>
    </comment>
    <comment ref="G46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Active Runtime - Base Runtime</t>
        </r>
      </text>
    </comment>
    <comment ref="H46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Base Runtime * Labor Rate</t>
        </r>
      </text>
    </comment>
    <comment ref="I46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Active Runtime * Labor Rate</t>
        </r>
      </text>
    </comment>
    <comment ref="J46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Active Labor - Base Labor</t>
        </r>
      </text>
    </comment>
    <comment ref="K46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Base Runtime * Burden Rate</t>
        </r>
      </text>
    </comment>
    <comment ref="L46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Active Runtime * Burden Rate</t>
        </r>
      </text>
    </comment>
    <comment ref="M46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Active Burden - Base Burden</t>
        </r>
      </text>
    </comment>
    <comment ref="N46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Base Labor + Base Burden</t>
        </r>
      </text>
    </comment>
    <comment ref="O46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Active Labor + Active Burden</t>
        </r>
      </text>
    </comment>
    <comment ref="P46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Active Process Cost - Base Process Cost = Δ Labor + Δ Burden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Active Current Std - Baseline Ref Std</t>
        </r>
      </text>
    </comment>
    <comment ref="E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(Variance / Baseline Ref Std) * 100%</t>
        </r>
      </text>
    </comment>
    <comment ref="G12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Cost variance generated by this driver</t>
        </r>
      </text>
    </comment>
    <comment ref="H12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Contribution to overall cost variance</t>
        </r>
      </text>
    </comment>
    <comment ref="I12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Controllable (Manufacturing) vs Uncontrollable (Purchasing Market)</t>
        </r>
      </text>
    </comment>
  </commentList>
</comments>
</file>

<file path=xl/sharedStrings.xml><?xml version="1.0" encoding="utf-8"?>
<sst xmlns="http://schemas.openxmlformats.org/spreadsheetml/2006/main" count="109" uniqueCount="84">
  <si>
    <t>PRODUCT INFO &amp; WORK CENTER RATES</t>
  </si>
  <si>
    <t>PRODUCT INFO</t>
  </si>
  <si>
    <t>Product Name</t>
  </si>
  <si>
    <t>Product Code</t>
  </si>
  <si>
    <t>Description</t>
  </si>
  <si>
    <t>UOM</t>
  </si>
  <si>
    <t>Source Reference</t>
  </si>
  <si>
    <t>WORK CENTER RATES</t>
  </si>
  <si>
    <t>Department</t>
  </si>
  <si>
    <t>Labor Rate (THB/MHr)</t>
  </si>
  <si>
    <t>Burden Rate (THB/MHr)</t>
  </si>
  <si>
    <t>Effective Date</t>
  </si>
  <si>
    <t>DIRECT MATERIAL COST BREAKDOWN (BOM)</t>
  </si>
  <si>
    <t>BOM INPUT DATA</t>
  </si>
  <si>
    <t>Item No</t>
  </si>
  <si>
    <t>Material Code</t>
  </si>
  <si>
    <t>Material Description</t>
  </si>
  <si>
    <t>Consumption</t>
  </si>
  <si>
    <t>Base Price (THB)</t>
  </si>
  <si>
    <t>Active Price (THB)</t>
  </si>
  <si>
    <t>Base Loss (%)</t>
  </si>
  <si>
    <t>Active Loss (%)</t>
  </si>
  <si>
    <t>BOM COST CALCULATION &amp; VARIANCE</t>
  </si>
  <si>
    <t>Base Cost (THB)</t>
  </si>
  <si>
    <t>Active Cost (THB)</t>
  </si>
  <si>
    <t>Price Var (THB)</t>
  </si>
  <si>
    <t>Loss Var (THB)</t>
  </si>
  <si>
    <t>Total Mat Var (Δ THB)</t>
  </si>
  <si>
    <t>Total</t>
  </si>
  <si>
    <t/>
  </si>
  <si>
    <t>CONVERSION PROCESS COST BREAKDOWN (ROUTING)</t>
  </si>
  <si>
    <t>ROUTING PROCESS INPUT</t>
  </si>
  <si>
    <t>Sequence</t>
  </si>
  <si>
    <t>Section</t>
  </si>
  <si>
    <t>Process Name</t>
  </si>
  <si>
    <t>MHr</t>
  </si>
  <si>
    <t>Base Cap (Unit/hr)</t>
  </si>
  <si>
    <t>Active Cap (Unit/hr)</t>
  </si>
  <si>
    <t>Base Yield (%)</t>
  </si>
  <si>
    <t>Active Yield (%)</t>
  </si>
  <si>
    <t>CONVERSION COST CALCULATION &amp; VARIANCE</t>
  </si>
  <si>
    <t>Base Runtime (MHr)</t>
  </si>
  <si>
    <t>Active Runtime (MHr)</t>
  </si>
  <si>
    <t>Δ Runtime (MHr)</t>
  </si>
  <si>
    <t>Base Labor (THB)</t>
  </si>
  <si>
    <t>Active Labor (THB)</t>
  </si>
  <si>
    <t>Δ Labor (THB)</t>
  </si>
  <si>
    <t>Base Burden (THB)</t>
  </si>
  <si>
    <t>Active Burden (THB)</t>
  </si>
  <si>
    <t>Δ Burden (THB)</t>
  </si>
  <si>
    <t>Base Process Cost (THB)</t>
  </si>
  <si>
    <t>Active Process Cost (THB)</t>
  </si>
  <si>
    <t>Total Process Δ (THB)</t>
  </si>
  <si>
    <t>DYNAMIC COST DRIVER RANKING &amp; EVALUATION ENGINE</t>
  </si>
  <si>
    <t>ID</t>
  </si>
  <si>
    <t>Level 2 Category</t>
  </si>
  <si>
    <t>Level 3 Driver Name</t>
  </si>
  <si>
    <t>Level 4 RCA Parameter</t>
  </si>
  <si>
    <t>Base Parameter</t>
  </si>
  <si>
    <t>Active Parameter</t>
  </si>
  <si>
    <t>Cost Gap (THB / Unit)</t>
  </si>
  <si>
    <t>Tie-Breaker Score</t>
  </si>
  <si>
    <t>COST SUMMARY &amp; VARIANCE COMPARISON</t>
  </si>
  <si>
    <t>REFERENCE STANDARD VS CURRENT STANDARD</t>
  </si>
  <si>
    <t>Cost Element</t>
  </si>
  <si>
    <t>Baseline Ref Std (THB)</t>
  </si>
  <si>
    <t>Active Current Std (THB)</t>
  </si>
  <si>
    <t>Variance (Δ THB)</t>
  </si>
  <si>
    <t>% Variance</t>
  </si>
  <si>
    <t>Level Reference</t>
  </si>
  <si>
    <t>Material</t>
  </si>
  <si>
    <t>Level 1</t>
  </si>
  <si>
    <t>Labor</t>
  </si>
  <si>
    <t>Burden</t>
  </si>
  <si>
    <t>Std Total</t>
  </si>
  <si>
    <t>Level 0</t>
  </si>
  <si>
    <t>TOP COST DRIVERS</t>
  </si>
  <si>
    <t>Rank</t>
  </si>
  <si>
    <t>Level 3 Cost Driver (Item / Station)</t>
  </si>
  <si>
    <t>Level 4 RCA Parameter Changed</t>
  </si>
  <si>
    <t>Cost Gap (THB/Unit)</t>
  </si>
  <si>
    <t>% Contribution</t>
  </si>
  <si>
    <t>Controllability</t>
  </si>
  <si>
    <t>Action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</si>
</sst>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#,##0.0000"/>
    <numFmt numFmtId="166" formatCode="0.0"/>
    <numFmt numFmtId="167" formatCode="0.00000000"/>
  </numFmts>
  <fonts count="6" x14ac:knownFonts="1">
    <font>
      <sz val="11"/>
      <color theme="1"/>
      <name val="Calibri"/>
      <family val="2"/>
      <scheme val="minor"/>
    </font>
    <font>
      <b/>
      <sz val="16"/>
      <color rgb="FF1E293B"/>
      <name val="Calibri"/>
    </font>
    <font>
      <b/>
      <sz val="13"/>
      <color rgb="FF1E293B"/>
      <name val="Calibri"/>
    </font>
    <font>
      <b/>
      <sz val="11"/>
      <color rgb="FFFFFFFF"/>
      <name val="Calibri"/>
    </font>
    <font>
      <sz val="11"/>
      <color rgb="FF0F172A"/>
      <name val="Calibri"/>
    </font>
    <font>
      <b/>
      <sz val="11"/>
      <color rgb="FF0F172A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EF9C3"/>
      </patternFill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double">
        <color rgb="FF1E293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0" fontId="5" fillId="4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sqref="A1:E1"/>
    </sheetView>
  </sheetViews>
  <sheetFormatPr defaultRowHeight="15" x14ac:dyDescent="0.25"/>
  <cols>
    <col min="1" max="1" width="13.7109375" bestFit="1" customWidth="1"/>
    <col min="2" max="2" width="20.5703125" bestFit="1" customWidth="1"/>
    <col min="3" max="3" width="22.28515625" bestFit="1" customWidth="1"/>
    <col min="4" max="4" width="13.5703125" bestFit="1" customWidth="1"/>
    <col min="5" max="5" width="16.7109375" bestFit="1" customWidth="1"/>
  </cols>
  <sheetData>
    <row r="1" spans="1:5" ht="21" x14ac:dyDescent="0.25">
      <c r="A1" s="21" t="s">
        <v>0</v>
      </c>
      <c r="B1" s="21"/>
      <c r="C1" s="21"/>
      <c r="D1" s="21"/>
      <c r="E1" s="21"/>
    </row>
    <row r="3" spans="1:5" ht="17.25" x14ac:dyDescent="0.25">
      <c r="A3" s="22" t="s">
        <v>1</v>
      </c>
      <c r="B3" s="22"/>
      <c r="C3" s="22"/>
      <c r="D3" s="22"/>
      <c r="E3" s="22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/>
      <c r="B5" s="2"/>
      <c r="C5" s="2"/>
      <c r="D5" s="2"/>
      <c r="E5" s="2"/>
    </row>
    <row r="7" spans="1:5" ht="17.25" x14ac:dyDescent="0.25">
      <c r="A7" s="22" t="s">
        <v>7</v>
      </c>
      <c r="B7" s="22"/>
      <c r="C7" s="22"/>
      <c r="D7" s="22"/>
      <c r="E7" s="22"/>
    </row>
    <row r="8" spans="1:5" x14ac:dyDescent="0.25">
      <c r="A8" s="1" t="s">
        <v>8</v>
      </c>
      <c r="B8" s="1" t="s">
        <v>9</v>
      </c>
      <c r="C8" s="1" t="s">
        <v>10</v>
      </c>
      <c r="D8" s="1" t="s">
        <v>11</v>
      </c>
      <c r="E8" s="1" t="s">
        <v>6</v>
      </c>
    </row>
    <row r="9" spans="1:5" x14ac:dyDescent="0.25">
      <c r="A9" s="2"/>
      <c r="B9" s="3"/>
      <c r="C9" s="3"/>
      <c r="D9" s="2"/>
      <c r="E9" s="2"/>
    </row>
    <row r="10" spans="1:5" x14ac:dyDescent="0.25">
      <c r="A10" s="2"/>
      <c r="B10" s="3"/>
      <c r="C10" s="3"/>
      <c r="D10" s="2"/>
      <c r="E10" s="2"/>
    </row>
    <row r="11" spans="1:5" x14ac:dyDescent="0.25">
      <c r="A11" s="2"/>
      <c r="B11" s="3"/>
      <c r="C11" s="3"/>
      <c r="D11" s="2"/>
      <c r="E11" s="2"/>
    </row>
    <row r="12" spans="1:5" x14ac:dyDescent="0.25">
      <c r="A12" s="2"/>
      <c r="B12" s="3"/>
      <c r="C12" s="3"/>
      <c r="D12" s="2"/>
      <c r="E12" s="2"/>
    </row>
  </sheetData>
  <mergeCells count="3">
    <mergeCell ref="A1:E1"/>
    <mergeCell ref="A3:E3"/>
    <mergeCell ref="A7:E7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"/>
  <sheetViews>
    <sheetView workbookViewId="0"/>
  </sheetViews>
  <sheetFormatPr defaultRowHeight="15" x14ac:dyDescent="0.25"/>
  <cols>
    <col min="1" max="1" width="8.140625" bestFit="1" customWidth="1"/>
    <col min="2" max="2" width="13.7109375" bestFit="1" customWidth="1"/>
    <col min="3" max="3" width="19.42578125" bestFit="1" customWidth="1"/>
    <col min="4" max="4" width="14.85546875" bestFit="1" customWidth="1"/>
    <col min="5" max="5" width="16.28515625" bestFit="1" customWidth="1"/>
    <col min="6" max="6" width="15.42578125" bestFit="1" customWidth="1"/>
    <col min="7" max="7" width="16.85546875" bestFit="1" customWidth="1"/>
    <col min="8" max="8" width="20.140625" bestFit="1" customWidth="1"/>
    <col min="9" max="9" width="14.28515625" bestFit="1" customWidth="1"/>
    <col min="10" max="10" width="16.7109375" bestFit="1" customWidth="1"/>
  </cols>
  <sheetData>
    <row r="1" spans="1:10" ht="21" x14ac:dyDescent="0.25">
      <c r="A1" s="21" t="s">
        <v>12</v>
      </c>
      <c r="B1" s="21"/>
      <c r="C1" s="21"/>
      <c r="D1" s="21"/>
      <c r="E1" s="21"/>
      <c r="F1" s="21"/>
      <c r="G1" s="21"/>
      <c r="H1" s="21"/>
      <c r="I1" s="21"/>
      <c r="J1" s="21"/>
    </row>
    <row r="3" spans="1:10" ht="17.25" x14ac:dyDescent="0.25">
      <c r="A3" s="22" t="s">
        <v>13</v>
      </c>
      <c r="B3" s="22"/>
      <c r="C3" s="22"/>
      <c r="D3" s="22"/>
      <c r="E3" s="22"/>
      <c r="F3" s="22"/>
      <c r="G3" s="22"/>
      <c r="H3" s="22"/>
      <c r="I3" s="22"/>
      <c r="J3" s="22"/>
    </row>
    <row r="4" spans="1:10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5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6</v>
      </c>
    </row>
    <row r="5" spans="1:10" x14ac:dyDescent="0.25">
      <c r="A5" s="2"/>
      <c r="B5" s="2"/>
      <c r="C5" s="2"/>
      <c r="D5" s="4"/>
      <c r="E5" s="2"/>
      <c r="F5" s="5"/>
      <c r="G5" s="5"/>
      <c r="H5" s="6"/>
      <c r="I5" s="6"/>
      <c r="J5" s="2"/>
    </row>
    <row r="6" spans="1:10" x14ac:dyDescent="0.25">
      <c r="A6" s="2"/>
      <c r="B6" s="2"/>
      <c r="C6" s="2"/>
      <c r="D6" s="4"/>
      <c r="E6" s="2"/>
      <c r="F6" s="5"/>
      <c r="G6" s="5"/>
      <c r="H6" s="6"/>
      <c r="I6" s="6"/>
      <c r="J6" s="2"/>
    </row>
    <row r="7" spans="1:10" x14ac:dyDescent="0.25">
      <c r="A7" s="2"/>
      <c r="B7" s="2"/>
      <c r="C7" s="2"/>
      <c r="D7" s="4"/>
      <c r="E7" s="2"/>
      <c r="F7" s="5"/>
      <c r="G7" s="5"/>
      <c r="H7" s="6"/>
      <c r="I7" s="6"/>
      <c r="J7" s="2"/>
    </row>
    <row r="8" spans="1:10" x14ac:dyDescent="0.25">
      <c r="A8" s="2"/>
      <c r="B8" s="2"/>
      <c r="C8" s="2"/>
      <c r="D8" s="4"/>
      <c r="E8" s="2"/>
      <c r="F8" s="5"/>
      <c r="G8" s="5"/>
      <c r="H8" s="6"/>
      <c r="I8" s="6"/>
      <c r="J8" s="2"/>
    </row>
    <row r="9" spans="1:10" x14ac:dyDescent="0.25">
      <c r="A9" s="2"/>
      <c r="B9" s="2"/>
      <c r="C9" s="2"/>
      <c r="D9" s="4"/>
      <c r="E9" s="2"/>
      <c r="F9" s="5"/>
      <c r="G9" s="5"/>
      <c r="H9" s="6"/>
      <c r="I9" s="6"/>
      <c r="J9" s="2"/>
    </row>
    <row r="10" spans="1:10" x14ac:dyDescent="0.25">
      <c r="A10" s="2"/>
      <c r="B10" s="2"/>
      <c r="C10" s="2"/>
      <c r="D10" s="4"/>
      <c r="E10" s="2"/>
      <c r="F10" s="5"/>
      <c r="G10" s="5"/>
      <c r="H10" s="6"/>
      <c r="I10" s="6"/>
      <c r="J10" s="2"/>
    </row>
    <row r="11" spans="1:10" x14ac:dyDescent="0.25">
      <c r="A11" s="2"/>
      <c r="B11" s="2"/>
      <c r="C11" s="2"/>
      <c r="D11" s="4"/>
      <c r="E11" s="2"/>
      <c r="F11" s="5"/>
      <c r="G11" s="5"/>
      <c r="H11" s="6"/>
      <c r="I11" s="6"/>
      <c r="J11" s="2"/>
    </row>
    <row r="12" spans="1:10" x14ac:dyDescent="0.25">
      <c r="A12" s="2"/>
      <c r="B12" s="2"/>
      <c r="C12" s="2"/>
      <c r="D12" s="4"/>
      <c r="E12" s="2"/>
      <c r="F12" s="5"/>
      <c r="G12" s="5"/>
      <c r="H12" s="6"/>
      <c r="I12" s="6"/>
      <c r="J12" s="2"/>
    </row>
    <row r="13" spans="1:10" x14ac:dyDescent="0.25">
      <c r="A13" s="2"/>
      <c r="B13" s="2"/>
      <c r="C13" s="2"/>
      <c r="D13" s="4"/>
      <c r="E13" s="2"/>
      <c r="F13" s="5"/>
      <c r="G13" s="5"/>
      <c r="H13" s="6"/>
      <c r="I13" s="6"/>
      <c r="J13" s="2"/>
    </row>
    <row r="14" spans="1:10" x14ac:dyDescent="0.25">
      <c r="A14" s="2"/>
      <c r="B14" s="2"/>
      <c r="C14" s="2"/>
      <c r="D14" s="4"/>
      <c r="E14" s="2"/>
      <c r="F14" s="5"/>
      <c r="G14" s="5"/>
      <c r="H14" s="6"/>
      <c r="I14" s="6"/>
      <c r="J14" s="2"/>
    </row>
    <row r="15" spans="1:10" x14ac:dyDescent="0.25">
      <c r="A15" s="2"/>
      <c r="B15" s="2"/>
      <c r="C15" s="2"/>
      <c r="D15" s="4"/>
      <c r="E15" s="2"/>
      <c r="F15" s="5"/>
      <c r="G15" s="5"/>
      <c r="H15" s="6"/>
      <c r="I15" s="6"/>
      <c r="J15" s="2"/>
    </row>
    <row r="16" spans="1:10" x14ac:dyDescent="0.25">
      <c r="A16" s="2"/>
      <c r="B16" s="2"/>
      <c r="C16" s="2"/>
      <c r="D16" s="4"/>
      <c r="E16" s="2"/>
      <c r="F16" s="5"/>
      <c r="G16" s="5"/>
      <c r="H16" s="6"/>
      <c r="I16" s="6"/>
      <c r="J16" s="2"/>
    </row>
    <row r="17" spans="1:10" x14ac:dyDescent="0.25">
      <c r="A17" s="2"/>
      <c r="B17" s="2"/>
      <c r="C17" s="2"/>
      <c r="D17" s="4"/>
      <c r="E17" s="2"/>
      <c r="F17" s="5"/>
      <c r="G17" s="5"/>
      <c r="H17" s="6"/>
      <c r="I17" s="6"/>
      <c r="J17" s="2"/>
    </row>
    <row r="18" spans="1:10" x14ac:dyDescent="0.25">
      <c r="A18" s="2"/>
      <c r="B18" s="2"/>
      <c r="C18" s="2"/>
      <c r="D18" s="4"/>
      <c r="E18" s="2"/>
      <c r="F18" s="5"/>
      <c r="G18" s="5"/>
      <c r="H18" s="6"/>
      <c r="I18" s="6"/>
      <c r="J18" s="2"/>
    </row>
    <row r="19" spans="1:10" x14ac:dyDescent="0.25">
      <c r="A19" s="2"/>
      <c r="B19" s="2"/>
      <c r="C19" s="2"/>
      <c r="D19" s="4"/>
      <c r="E19" s="2"/>
      <c r="F19" s="5"/>
      <c r="G19" s="5"/>
      <c r="H19" s="6"/>
      <c r="I19" s="6"/>
      <c r="J19" s="2"/>
    </row>
    <row r="20" spans="1:10" x14ac:dyDescent="0.25">
      <c r="A20" s="2"/>
      <c r="B20" s="2"/>
      <c r="C20" s="2"/>
      <c r="D20" s="4"/>
      <c r="E20" s="2"/>
      <c r="F20" s="5"/>
      <c r="G20" s="5"/>
      <c r="H20" s="6"/>
      <c r="I20" s="6"/>
      <c r="J20" s="2"/>
    </row>
    <row r="22" spans="1:10" ht="17.25" x14ac:dyDescent="0.25">
      <c r="A22" s="22" t="s">
        <v>22</v>
      </c>
      <c r="B22" s="22"/>
      <c r="C22" s="22"/>
      <c r="D22" s="22"/>
      <c r="E22" s="22"/>
      <c r="F22" s="22"/>
      <c r="G22" s="22"/>
      <c r="H22" s="22"/>
    </row>
    <row r="23" spans="1:10" x14ac:dyDescent="0.25">
      <c r="A23" s="1" t="s">
        <v>14</v>
      </c>
      <c r="B23" s="1" t="s">
        <v>15</v>
      </c>
      <c r="C23" s="1" t="s">
        <v>16</v>
      </c>
      <c r="D23" s="1" t="s">
        <v>23</v>
      </c>
      <c r="E23" s="1" t="s">
        <v>24</v>
      </c>
      <c r="F23" s="1" t="s">
        <v>25</v>
      </c>
      <c r="G23" s="1" t="s">
        <v>26</v>
      </c>
      <c r="H23" s="1" t="s">
        <v>27</v>
      </c>
    </row>
    <row r="24" spans="1:10" x14ac:dyDescent="0.25">
      <c r="A24" s="7" t="str">
        <f t="shared" ref="A24:C39" si="0">IFERROR(IF(A5="","",A5),"")</f>
        <v/>
      </c>
      <c r="B24" s="7" t="str">
        <f t="shared" si="0"/>
        <v/>
      </c>
      <c r="C24" s="7" t="str">
        <f t="shared" si="0"/>
        <v/>
      </c>
      <c r="D24" s="8" t="str">
        <f t="shared" ref="D24:D39" si="1">IFERROR(IF(OR(D5="", F5="", H5="", H5&gt;=1), "", (D5*F5)/(1-H5)), "")</f>
        <v/>
      </c>
      <c r="E24" s="8" t="str">
        <f t="shared" ref="E24:E39" si="2">IFERROR(IF(OR(D5="", G5="", I5="", I5&gt;=1), "", (D5*G5)/(1-I5)), "")</f>
        <v/>
      </c>
      <c r="F24" s="8" t="str">
        <f t="shared" ref="F24:F39" si="3">IFERROR(IF(OR(D5="", F5="", G5="", H5="", H5&gt;=1, D24=""), "", ((D5*G5)/(1-H5))-D24), "")</f>
        <v/>
      </c>
      <c r="G24" s="8" t="str">
        <f t="shared" ref="G24:G39" si="4">IFERROR(IF(OR(D5="", G5="", H5="", I5="", H5&gt;=1, I5&gt;=1, E24=""), "", E24-((D5*G5)/(1-H5))), "")</f>
        <v/>
      </c>
      <c r="H24" s="8" t="str">
        <f t="shared" ref="H24:H39" si="5">IFERROR(IF(OR(D24="", E24=""), "", E24-D24), "")</f>
        <v/>
      </c>
    </row>
    <row r="25" spans="1:10" x14ac:dyDescent="0.25">
      <c r="A25" s="7" t="str">
        <f t="shared" si="0"/>
        <v/>
      </c>
      <c r="B25" s="7" t="str">
        <f t="shared" si="0"/>
        <v/>
      </c>
      <c r="C25" s="7" t="str">
        <f t="shared" si="0"/>
        <v/>
      </c>
      <c r="D25" s="8" t="str">
        <f t="shared" si="1"/>
        <v/>
      </c>
      <c r="E25" s="8" t="str">
        <f t="shared" si="2"/>
        <v/>
      </c>
      <c r="F25" s="8" t="str">
        <f t="shared" si="3"/>
        <v/>
      </c>
      <c r="G25" s="8" t="str">
        <f t="shared" si="4"/>
        <v/>
      </c>
      <c r="H25" s="8" t="str">
        <f t="shared" si="5"/>
        <v/>
      </c>
    </row>
    <row r="26" spans="1:10" x14ac:dyDescent="0.25">
      <c r="A26" s="7" t="str">
        <f t="shared" si="0"/>
        <v/>
      </c>
      <c r="B26" s="7" t="str">
        <f t="shared" si="0"/>
        <v/>
      </c>
      <c r="C26" s="7" t="str">
        <f t="shared" si="0"/>
        <v/>
      </c>
      <c r="D26" s="8" t="str">
        <f t="shared" si="1"/>
        <v/>
      </c>
      <c r="E26" s="8" t="str">
        <f t="shared" si="2"/>
        <v/>
      </c>
      <c r="F26" s="8" t="str">
        <f t="shared" si="3"/>
        <v/>
      </c>
      <c r="G26" s="8" t="str">
        <f t="shared" si="4"/>
        <v/>
      </c>
      <c r="H26" s="8" t="str">
        <f t="shared" si="5"/>
        <v/>
      </c>
    </row>
    <row r="27" spans="1:10" x14ac:dyDescent="0.25">
      <c r="A27" s="7" t="str">
        <f t="shared" si="0"/>
        <v/>
      </c>
      <c r="B27" s="7" t="str">
        <f t="shared" si="0"/>
        <v/>
      </c>
      <c r="C27" s="7" t="str">
        <f t="shared" si="0"/>
        <v/>
      </c>
      <c r="D27" s="8" t="str">
        <f t="shared" si="1"/>
        <v/>
      </c>
      <c r="E27" s="8" t="str">
        <f t="shared" si="2"/>
        <v/>
      </c>
      <c r="F27" s="8" t="str">
        <f t="shared" si="3"/>
        <v/>
      </c>
      <c r="G27" s="8" t="str">
        <f t="shared" si="4"/>
        <v/>
      </c>
      <c r="H27" s="8" t="str">
        <f t="shared" si="5"/>
        <v/>
      </c>
    </row>
    <row r="28" spans="1:10" x14ac:dyDescent="0.25">
      <c r="A28" s="7" t="str">
        <f t="shared" si="0"/>
        <v/>
      </c>
      <c r="B28" s="7" t="str">
        <f t="shared" si="0"/>
        <v/>
      </c>
      <c r="C28" s="7" t="str">
        <f t="shared" si="0"/>
        <v/>
      </c>
      <c r="D28" s="8" t="str">
        <f t="shared" si="1"/>
        <v/>
      </c>
      <c r="E28" s="8" t="str">
        <f t="shared" si="2"/>
        <v/>
      </c>
      <c r="F28" s="8" t="str">
        <f t="shared" si="3"/>
        <v/>
      </c>
      <c r="G28" s="8" t="str">
        <f t="shared" si="4"/>
        <v/>
      </c>
      <c r="H28" s="8" t="str">
        <f t="shared" si="5"/>
        <v/>
      </c>
    </row>
    <row r="29" spans="1:10" x14ac:dyDescent="0.25">
      <c r="A29" s="7" t="str">
        <f t="shared" si="0"/>
        <v/>
      </c>
      <c r="B29" s="7" t="str">
        <f t="shared" si="0"/>
        <v/>
      </c>
      <c r="C29" s="7" t="str">
        <f t="shared" si="0"/>
        <v/>
      </c>
      <c r="D29" s="8" t="str">
        <f t="shared" si="1"/>
        <v/>
      </c>
      <c r="E29" s="8" t="str">
        <f t="shared" si="2"/>
        <v/>
      </c>
      <c r="F29" s="8" t="str">
        <f t="shared" si="3"/>
        <v/>
      </c>
      <c r="G29" s="8" t="str">
        <f t="shared" si="4"/>
        <v/>
      </c>
      <c r="H29" s="8" t="str">
        <f t="shared" si="5"/>
        <v/>
      </c>
    </row>
    <row r="30" spans="1:10" x14ac:dyDescent="0.25">
      <c r="A30" s="7" t="str">
        <f t="shared" si="0"/>
        <v/>
      </c>
      <c r="B30" s="7" t="str">
        <f t="shared" si="0"/>
        <v/>
      </c>
      <c r="C30" s="7" t="str">
        <f t="shared" si="0"/>
        <v/>
      </c>
      <c r="D30" s="8" t="str">
        <f t="shared" si="1"/>
        <v/>
      </c>
      <c r="E30" s="8" t="str">
        <f t="shared" si="2"/>
        <v/>
      </c>
      <c r="F30" s="8" t="str">
        <f t="shared" si="3"/>
        <v/>
      </c>
      <c r="G30" s="8" t="str">
        <f t="shared" si="4"/>
        <v/>
      </c>
      <c r="H30" s="8" t="str">
        <f t="shared" si="5"/>
        <v/>
      </c>
    </row>
    <row r="31" spans="1:10" x14ac:dyDescent="0.25">
      <c r="A31" s="7" t="str">
        <f t="shared" si="0"/>
        <v/>
      </c>
      <c r="B31" s="7" t="str">
        <f t="shared" si="0"/>
        <v/>
      </c>
      <c r="C31" s="7" t="str">
        <f t="shared" si="0"/>
        <v/>
      </c>
      <c r="D31" s="8" t="str">
        <f t="shared" si="1"/>
        <v/>
      </c>
      <c r="E31" s="8" t="str">
        <f t="shared" si="2"/>
        <v/>
      </c>
      <c r="F31" s="8" t="str">
        <f t="shared" si="3"/>
        <v/>
      </c>
      <c r="G31" s="8" t="str">
        <f t="shared" si="4"/>
        <v/>
      </c>
      <c r="H31" s="8" t="str">
        <f t="shared" si="5"/>
        <v/>
      </c>
    </row>
    <row r="32" spans="1:10" x14ac:dyDescent="0.25">
      <c r="A32" s="7" t="str">
        <f t="shared" si="0"/>
        <v/>
      </c>
      <c r="B32" s="7" t="str">
        <f t="shared" si="0"/>
        <v/>
      </c>
      <c r="C32" s="7" t="str">
        <f t="shared" si="0"/>
        <v/>
      </c>
      <c r="D32" s="8" t="str">
        <f t="shared" si="1"/>
        <v/>
      </c>
      <c r="E32" s="8" t="str">
        <f t="shared" si="2"/>
        <v/>
      </c>
      <c r="F32" s="8" t="str">
        <f t="shared" si="3"/>
        <v/>
      </c>
      <c r="G32" s="8" t="str">
        <f t="shared" si="4"/>
        <v/>
      </c>
      <c r="H32" s="8" t="str">
        <f t="shared" si="5"/>
        <v/>
      </c>
    </row>
    <row r="33" spans="1:8" x14ac:dyDescent="0.25">
      <c r="A33" s="7" t="str">
        <f t="shared" si="0"/>
        <v/>
      </c>
      <c r="B33" s="7" t="str">
        <f t="shared" si="0"/>
        <v/>
      </c>
      <c r="C33" s="7" t="str">
        <f t="shared" si="0"/>
        <v/>
      </c>
      <c r="D33" s="8" t="str">
        <f t="shared" si="1"/>
        <v/>
      </c>
      <c r="E33" s="8" t="str">
        <f t="shared" si="2"/>
        <v/>
      </c>
      <c r="F33" s="8" t="str">
        <f t="shared" si="3"/>
        <v/>
      </c>
      <c r="G33" s="8" t="str">
        <f t="shared" si="4"/>
        <v/>
      </c>
      <c r="H33" s="8" t="str">
        <f t="shared" si="5"/>
        <v/>
      </c>
    </row>
    <row r="34" spans="1:8" x14ac:dyDescent="0.25">
      <c r="A34" s="7" t="str">
        <f t="shared" si="0"/>
        <v/>
      </c>
      <c r="B34" s="7" t="str">
        <f t="shared" si="0"/>
        <v/>
      </c>
      <c r="C34" s="7" t="str">
        <f t="shared" si="0"/>
        <v/>
      </c>
      <c r="D34" s="8" t="str">
        <f t="shared" si="1"/>
        <v/>
      </c>
      <c r="E34" s="8" t="str">
        <f t="shared" si="2"/>
        <v/>
      </c>
      <c r="F34" s="8" t="str">
        <f t="shared" si="3"/>
        <v/>
      </c>
      <c r="G34" s="8" t="str">
        <f t="shared" si="4"/>
        <v/>
      </c>
      <c r="H34" s="8" t="str">
        <f t="shared" si="5"/>
        <v/>
      </c>
    </row>
    <row r="35" spans="1:8" x14ac:dyDescent="0.25">
      <c r="A35" s="7" t="str">
        <f t="shared" si="0"/>
        <v/>
      </c>
      <c r="B35" s="7" t="str">
        <f t="shared" si="0"/>
        <v/>
      </c>
      <c r="C35" s="7" t="str">
        <f t="shared" si="0"/>
        <v/>
      </c>
      <c r="D35" s="8" t="str">
        <f t="shared" si="1"/>
        <v/>
      </c>
      <c r="E35" s="8" t="str">
        <f t="shared" si="2"/>
        <v/>
      </c>
      <c r="F35" s="8" t="str">
        <f t="shared" si="3"/>
        <v/>
      </c>
      <c r="G35" s="8" t="str">
        <f t="shared" si="4"/>
        <v/>
      </c>
      <c r="H35" s="8" t="str">
        <f t="shared" si="5"/>
        <v/>
      </c>
    </row>
    <row r="36" spans="1:8" x14ac:dyDescent="0.25">
      <c r="A36" s="7" t="str">
        <f t="shared" si="0"/>
        <v/>
      </c>
      <c r="B36" s="7" t="str">
        <f t="shared" si="0"/>
        <v/>
      </c>
      <c r="C36" s="7" t="str">
        <f t="shared" si="0"/>
        <v/>
      </c>
      <c r="D36" s="8" t="str">
        <f t="shared" si="1"/>
        <v/>
      </c>
      <c r="E36" s="8" t="str">
        <f t="shared" si="2"/>
        <v/>
      </c>
      <c r="F36" s="8" t="str">
        <f t="shared" si="3"/>
        <v/>
      </c>
      <c r="G36" s="8" t="str">
        <f t="shared" si="4"/>
        <v/>
      </c>
      <c r="H36" s="8" t="str">
        <f t="shared" si="5"/>
        <v/>
      </c>
    </row>
    <row r="37" spans="1:8" x14ac:dyDescent="0.25">
      <c r="A37" s="7" t="str">
        <f t="shared" si="0"/>
        <v/>
      </c>
      <c r="B37" s="7" t="str">
        <f t="shared" si="0"/>
        <v/>
      </c>
      <c r="C37" s="7" t="str">
        <f t="shared" si="0"/>
        <v/>
      </c>
      <c r="D37" s="8" t="str">
        <f t="shared" si="1"/>
        <v/>
      </c>
      <c r="E37" s="8" t="str">
        <f t="shared" si="2"/>
        <v/>
      </c>
      <c r="F37" s="8" t="str">
        <f t="shared" si="3"/>
        <v/>
      </c>
      <c r="G37" s="8" t="str">
        <f t="shared" si="4"/>
        <v/>
      </c>
      <c r="H37" s="8" t="str">
        <f t="shared" si="5"/>
        <v/>
      </c>
    </row>
    <row r="38" spans="1:8" x14ac:dyDescent="0.25">
      <c r="A38" s="7" t="str">
        <f t="shared" si="0"/>
        <v/>
      </c>
      <c r="B38" s="7" t="str">
        <f t="shared" si="0"/>
        <v/>
      </c>
      <c r="C38" s="7" t="str">
        <f t="shared" si="0"/>
        <v/>
      </c>
      <c r="D38" s="8" t="str">
        <f t="shared" si="1"/>
        <v/>
      </c>
      <c r="E38" s="8" t="str">
        <f t="shared" si="2"/>
        <v/>
      </c>
      <c r="F38" s="8" t="str">
        <f t="shared" si="3"/>
        <v/>
      </c>
      <c r="G38" s="8" t="str">
        <f t="shared" si="4"/>
        <v/>
      </c>
      <c r="H38" s="8" t="str">
        <f t="shared" si="5"/>
        <v/>
      </c>
    </row>
    <row r="39" spans="1:8" x14ac:dyDescent="0.25">
      <c r="A39" s="7" t="str">
        <f t="shared" si="0"/>
        <v/>
      </c>
      <c r="B39" s="7" t="str">
        <f t="shared" si="0"/>
        <v/>
      </c>
      <c r="C39" s="7" t="str">
        <f t="shared" si="0"/>
        <v/>
      </c>
      <c r="D39" s="8" t="str">
        <f t="shared" si="1"/>
        <v/>
      </c>
      <c r="E39" s="8" t="str">
        <f t="shared" si="2"/>
        <v/>
      </c>
      <c r="F39" s="8" t="str">
        <f t="shared" si="3"/>
        <v/>
      </c>
      <c r="G39" s="8" t="str">
        <f t="shared" si="4"/>
        <v/>
      </c>
      <c r="H39" s="8" t="str">
        <f t="shared" si="5"/>
        <v/>
      </c>
    </row>
    <row r="40" spans="1:8" x14ac:dyDescent="0.25">
      <c r="A40" s="9" t="s">
        <v>28</v>
      </c>
      <c r="B40" s="9" t="s">
        <v>29</v>
      </c>
      <c r="C40" s="9" t="s">
        <v>29</v>
      </c>
      <c r="D40" s="10" t="str">
        <f>IFERROR(IF(SUM(D24:D39)=0, "", SUM(D24:D39)), "")</f>
        <v/>
      </c>
      <c r="E40" s="10" t="str">
        <f>IFERROR(IF(SUM(E24:E39)=0, "", SUM(E24:E39)), "")</f>
        <v/>
      </c>
      <c r="F40" s="10" t="str">
        <f>IFERROR(IF(SUM(F24:F39)=0, "", SUM(F24:F39)), "")</f>
        <v/>
      </c>
      <c r="G40" s="10" t="str">
        <f>IFERROR(IF(SUM(G24:G39)=0, "", SUM(G24:G39)), "")</f>
        <v/>
      </c>
      <c r="H40" s="10" t="str">
        <f>IFERROR(IF(SUM(H24:H39)=0, "", SUM(H24:H39)), "")</f>
        <v/>
      </c>
    </row>
  </sheetData>
  <mergeCells count="3">
    <mergeCell ref="A1:J1"/>
    <mergeCell ref="A3:J3"/>
    <mergeCell ref="A22:H22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6"/>
  <sheetViews>
    <sheetView workbookViewId="0"/>
  </sheetViews>
  <sheetFormatPr defaultRowHeight="15" x14ac:dyDescent="0.25"/>
  <cols>
    <col min="1" max="1" width="9.7109375" bestFit="1" customWidth="1"/>
    <col min="2" max="2" width="7.5703125" bestFit="1" customWidth="1"/>
    <col min="3" max="3" width="13.5703125" bestFit="1" customWidth="1"/>
    <col min="4" max="4" width="11.7109375" bestFit="1" customWidth="1"/>
    <col min="5" max="5" width="19.140625" bestFit="1" customWidth="1"/>
    <col min="6" max="6" width="20.5703125" bestFit="1" customWidth="1"/>
    <col min="7" max="7" width="19" bestFit="1" customWidth="1"/>
    <col min="8" max="8" width="15.85546875" bestFit="1" customWidth="1"/>
    <col min="9" max="9" width="17.42578125" bestFit="1" customWidth="1"/>
    <col min="10" max="10" width="16.7109375" bestFit="1" customWidth="1"/>
    <col min="11" max="11" width="17.5703125" bestFit="1" customWidth="1"/>
    <col min="12" max="12" width="19" bestFit="1" customWidth="1"/>
    <col min="13" max="13" width="14.5703125" bestFit="1" customWidth="1"/>
    <col min="14" max="14" width="22.28515625" bestFit="1" customWidth="1"/>
    <col min="15" max="15" width="23.7109375" bestFit="1" customWidth="1"/>
    <col min="16" max="16" width="19.85546875" bestFit="1" customWidth="1"/>
  </cols>
  <sheetData>
    <row r="1" spans="1:10" ht="21" x14ac:dyDescent="0.25">
      <c r="A1" s="21" t="s">
        <v>30</v>
      </c>
      <c r="B1" s="21"/>
      <c r="C1" s="21"/>
      <c r="D1" s="21"/>
      <c r="E1" s="21"/>
      <c r="F1" s="21"/>
      <c r="G1" s="21"/>
      <c r="H1" s="21"/>
      <c r="I1" s="21"/>
      <c r="J1" s="21"/>
    </row>
    <row r="3" spans="1:10" ht="17.25" x14ac:dyDescent="0.25">
      <c r="A3" s="22" t="s">
        <v>31</v>
      </c>
      <c r="B3" s="22"/>
      <c r="C3" s="22"/>
      <c r="D3" s="22"/>
      <c r="E3" s="22"/>
      <c r="F3" s="22"/>
      <c r="G3" s="22"/>
      <c r="H3" s="22"/>
      <c r="I3" s="22"/>
      <c r="J3" s="22"/>
    </row>
    <row r="4" spans="1:10" x14ac:dyDescent="0.25">
      <c r="A4" s="1" t="s">
        <v>32</v>
      </c>
      <c r="B4" s="1" t="s">
        <v>33</v>
      </c>
      <c r="C4" s="1" t="s">
        <v>34</v>
      </c>
      <c r="D4" s="1" t="s">
        <v>8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6</v>
      </c>
    </row>
    <row r="5" spans="1:10" x14ac:dyDescent="0.25">
      <c r="A5" s="2"/>
      <c r="B5" s="2"/>
      <c r="C5" s="2"/>
      <c r="D5" s="2"/>
      <c r="E5" s="11"/>
      <c r="F5" s="12"/>
      <c r="G5" s="12"/>
      <c r="H5" s="6"/>
      <c r="I5" s="6"/>
      <c r="J5" s="2"/>
    </row>
    <row r="6" spans="1:10" x14ac:dyDescent="0.25">
      <c r="A6" s="2"/>
      <c r="B6" s="2"/>
      <c r="C6" s="2"/>
      <c r="D6" s="2"/>
      <c r="E6" s="11"/>
      <c r="F6" s="12"/>
      <c r="G6" s="12"/>
      <c r="H6" s="6"/>
      <c r="I6" s="6"/>
      <c r="J6" s="2"/>
    </row>
    <row r="7" spans="1:10" x14ac:dyDescent="0.25">
      <c r="A7" s="2"/>
      <c r="B7" s="2"/>
      <c r="C7" s="2"/>
      <c r="D7" s="2"/>
      <c r="E7" s="11"/>
      <c r="F7" s="12"/>
      <c r="G7" s="12"/>
      <c r="H7" s="6"/>
      <c r="I7" s="6"/>
      <c r="J7" s="2"/>
    </row>
    <row r="8" spans="1:10" x14ac:dyDescent="0.25">
      <c r="A8" s="2"/>
      <c r="B8" s="2"/>
      <c r="C8" s="2"/>
      <c r="D8" s="2"/>
      <c r="E8" s="11"/>
      <c r="F8" s="12"/>
      <c r="G8" s="12"/>
      <c r="H8" s="6"/>
      <c r="I8" s="6"/>
      <c r="J8" s="2"/>
    </row>
    <row r="9" spans="1:10" x14ac:dyDescent="0.25">
      <c r="A9" s="2"/>
      <c r="B9" s="2"/>
      <c r="C9" s="2"/>
      <c r="D9" s="2"/>
      <c r="E9" s="11"/>
      <c r="F9" s="12"/>
      <c r="G9" s="12"/>
      <c r="H9" s="6"/>
      <c r="I9" s="6"/>
      <c r="J9" s="2"/>
    </row>
    <row r="10" spans="1:10" x14ac:dyDescent="0.25">
      <c r="A10" s="2"/>
      <c r="B10" s="2"/>
      <c r="C10" s="2"/>
      <c r="D10" s="2"/>
      <c r="E10" s="11"/>
      <c r="F10" s="12"/>
      <c r="G10" s="12"/>
      <c r="H10" s="6"/>
      <c r="I10" s="6"/>
      <c r="J10" s="2"/>
    </row>
    <row r="11" spans="1:10" x14ac:dyDescent="0.25">
      <c r="A11" s="2"/>
      <c r="B11" s="2"/>
      <c r="C11" s="2"/>
      <c r="D11" s="2"/>
      <c r="E11" s="11"/>
      <c r="F11" s="12"/>
      <c r="G11" s="12"/>
      <c r="H11" s="6"/>
      <c r="I11" s="6"/>
      <c r="J11" s="2"/>
    </row>
    <row r="12" spans="1:10" x14ac:dyDescent="0.25">
      <c r="A12" s="2"/>
      <c r="B12" s="2"/>
      <c r="C12" s="2"/>
      <c r="D12" s="2"/>
      <c r="E12" s="11"/>
      <c r="F12" s="12"/>
      <c r="G12" s="12"/>
      <c r="H12" s="6"/>
      <c r="I12" s="6"/>
      <c r="J12" s="2"/>
    </row>
    <row r="13" spans="1:10" x14ac:dyDescent="0.25">
      <c r="A13" s="2"/>
      <c r="B13" s="2"/>
      <c r="C13" s="2"/>
      <c r="D13" s="2"/>
      <c r="E13" s="11"/>
      <c r="F13" s="12"/>
      <c r="G13" s="12"/>
      <c r="H13" s="6"/>
      <c r="I13" s="6"/>
      <c r="J13" s="2"/>
    </row>
    <row r="14" spans="1:10" x14ac:dyDescent="0.25">
      <c r="A14" s="2"/>
      <c r="B14" s="2"/>
      <c r="C14" s="2"/>
      <c r="D14" s="2"/>
      <c r="E14" s="11"/>
      <c r="F14" s="12"/>
      <c r="G14" s="12"/>
      <c r="H14" s="6"/>
      <c r="I14" s="6"/>
      <c r="J14" s="2"/>
    </row>
    <row r="15" spans="1:10" x14ac:dyDescent="0.25">
      <c r="A15" s="2"/>
      <c r="B15" s="2"/>
      <c r="C15" s="2"/>
      <c r="D15" s="2"/>
      <c r="E15" s="11"/>
      <c r="F15" s="12"/>
      <c r="G15" s="12"/>
      <c r="H15" s="6"/>
      <c r="I15" s="6"/>
      <c r="J15" s="2"/>
    </row>
    <row r="16" spans="1:10" x14ac:dyDescent="0.25">
      <c r="A16" s="2"/>
      <c r="B16" s="2"/>
      <c r="C16" s="2"/>
      <c r="D16" s="2"/>
      <c r="E16" s="11"/>
      <c r="F16" s="12"/>
      <c r="G16" s="12"/>
      <c r="H16" s="6"/>
      <c r="I16" s="6"/>
      <c r="J16" s="2"/>
    </row>
    <row r="17" spans="1:10" x14ac:dyDescent="0.25">
      <c r="A17" s="2"/>
      <c r="B17" s="2"/>
      <c r="C17" s="2"/>
      <c r="D17" s="2"/>
      <c r="E17" s="11"/>
      <c r="F17" s="12"/>
      <c r="G17" s="12"/>
      <c r="H17" s="6"/>
      <c r="I17" s="6"/>
      <c r="J17" s="2"/>
    </row>
    <row r="18" spans="1:10" x14ac:dyDescent="0.25">
      <c r="A18" s="2"/>
      <c r="B18" s="2"/>
      <c r="C18" s="2"/>
      <c r="D18" s="2"/>
      <c r="E18" s="11"/>
      <c r="F18" s="12"/>
      <c r="G18" s="12"/>
      <c r="H18" s="6"/>
      <c r="I18" s="6"/>
      <c r="J18" s="2"/>
    </row>
    <row r="19" spans="1:10" x14ac:dyDescent="0.25">
      <c r="A19" s="2"/>
      <c r="B19" s="2"/>
      <c r="C19" s="2"/>
      <c r="D19" s="2"/>
      <c r="E19" s="11"/>
      <c r="F19" s="12"/>
      <c r="G19" s="12"/>
      <c r="H19" s="6"/>
      <c r="I19" s="6"/>
      <c r="J19" s="2"/>
    </row>
    <row r="20" spans="1:10" x14ac:dyDescent="0.25">
      <c r="A20" s="2"/>
      <c r="B20" s="2"/>
      <c r="C20" s="2"/>
      <c r="D20" s="2"/>
      <c r="E20" s="11"/>
      <c r="F20" s="12"/>
      <c r="G20" s="12"/>
      <c r="H20" s="6"/>
      <c r="I20" s="6"/>
      <c r="J20" s="2"/>
    </row>
    <row r="21" spans="1:10" x14ac:dyDescent="0.25">
      <c r="A21" s="2"/>
      <c r="B21" s="2"/>
      <c r="C21" s="2"/>
      <c r="D21" s="2"/>
      <c r="E21" s="11"/>
      <c r="F21" s="12"/>
      <c r="G21" s="12"/>
      <c r="H21" s="6"/>
      <c r="I21" s="6"/>
      <c r="J21" s="2"/>
    </row>
    <row r="22" spans="1:10" x14ac:dyDescent="0.25">
      <c r="A22" s="2"/>
      <c r="B22" s="2"/>
      <c r="C22" s="2"/>
      <c r="D22" s="2"/>
      <c r="E22" s="11"/>
      <c r="F22" s="12"/>
      <c r="G22" s="12"/>
      <c r="H22" s="6"/>
      <c r="I22" s="6"/>
      <c r="J22" s="2"/>
    </row>
    <row r="23" spans="1:10" x14ac:dyDescent="0.25">
      <c r="A23" s="2"/>
      <c r="B23" s="2"/>
      <c r="C23" s="2"/>
      <c r="D23" s="2"/>
      <c r="E23" s="11"/>
      <c r="F23" s="12"/>
      <c r="G23" s="12"/>
      <c r="H23" s="6"/>
      <c r="I23" s="6"/>
      <c r="J23" s="2"/>
    </row>
    <row r="24" spans="1:10" x14ac:dyDescent="0.25">
      <c r="A24" s="2"/>
      <c r="B24" s="2"/>
      <c r="C24" s="2"/>
      <c r="D24" s="2"/>
      <c r="E24" s="11"/>
      <c r="F24" s="12"/>
      <c r="G24" s="12"/>
      <c r="H24" s="6"/>
      <c r="I24" s="6"/>
      <c r="J24" s="2"/>
    </row>
    <row r="25" spans="1:10" x14ac:dyDescent="0.25">
      <c r="A25" s="2"/>
      <c r="B25" s="2"/>
      <c r="C25" s="2"/>
      <c r="D25" s="2"/>
      <c r="E25" s="11"/>
      <c r="F25" s="12"/>
      <c r="G25" s="12"/>
      <c r="H25" s="6"/>
      <c r="I25" s="6"/>
      <c r="J25" s="2"/>
    </row>
    <row r="26" spans="1:10" x14ac:dyDescent="0.25">
      <c r="A26" s="2"/>
      <c r="B26" s="2"/>
      <c r="C26" s="2"/>
      <c r="D26" s="2"/>
      <c r="E26" s="11"/>
      <c r="F26" s="12"/>
      <c r="G26" s="12"/>
      <c r="H26" s="6"/>
      <c r="I26" s="6"/>
      <c r="J26" s="2"/>
    </row>
    <row r="27" spans="1:10" x14ac:dyDescent="0.25">
      <c r="A27" s="2"/>
      <c r="B27" s="2"/>
      <c r="C27" s="2"/>
      <c r="D27" s="2"/>
      <c r="E27" s="11"/>
      <c r="F27" s="12"/>
      <c r="G27" s="12"/>
      <c r="H27" s="6"/>
      <c r="I27" s="6"/>
      <c r="J27" s="2"/>
    </row>
    <row r="28" spans="1:10" x14ac:dyDescent="0.25">
      <c r="A28" s="2"/>
      <c r="B28" s="2"/>
      <c r="C28" s="2"/>
      <c r="D28" s="2"/>
      <c r="E28" s="11"/>
      <c r="F28" s="12"/>
      <c r="G28" s="12"/>
      <c r="H28" s="6"/>
      <c r="I28" s="6"/>
      <c r="J28" s="2"/>
    </row>
    <row r="29" spans="1:10" x14ac:dyDescent="0.25">
      <c r="A29" s="2"/>
      <c r="B29" s="2"/>
      <c r="C29" s="2"/>
      <c r="D29" s="2"/>
      <c r="E29" s="11"/>
      <c r="F29" s="12"/>
      <c r="G29" s="12"/>
      <c r="H29" s="6"/>
      <c r="I29" s="6"/>
      <c r="J29" s="2"/>
    </row>
    <row r="30" spans="1:10" x14ac:dyDescent="0.25">
      <c r="A30" s="2"/>
      <c r="B30" s="2"/>
      <c r="C30" s="2"/>
      <c r="D30" s="2"/>
      <c r="E30" s="11"/>
      <c r="F30" s="12"/>
      <c r="G30" s="12"/>
      <c r="H30" s="6"/>
      <c r="I30" s="6"/>
      <c r="J30" s="2"/>
    </row>
    <row r="31" spans="1:10" x14ac:dyDescent="0.25">
      <c r="A31" s="2"/>
      <c r="B31" s="2"/>
      <c r="C31" s="2"/>
      <c r="D31" s="2"/>
      <c r="E31" s="11"/>
      <c r="F31" s="12"/>
      <c r="G31" s="12"/>
      <c r="H31" s="6"/>
      <c r="I31" s="6"/>
      <c r="J31" s="2"/>
    </row>
    <row r="32" spans="1:10" x14ac:dyDescent="0.25">
      <c r="A32" s="2"/>
      <c r="B32" s="2"/>
      <c r="C32" s="2"/>
      <c r="D32" s="2"/>
      <c r="E32" s="11"/>
      <c r="F32" s="12"/>
      <c r="G32" s="12"/>
      <c r="H32" s="6"/>
      <c r="I32" s="6"/>
      <c r="J32" s="2"/>
    </row>
    <row r="33" spans="1:16" x14ac:dyDescent="0.25">
      <c r="A33" s="2"/>
      <c r="B33" s="2"/>
      <c r="C33" s="2"/>
      <c r="D33" s="2"/>
      <c r="E33" s="11"/>
      <c r="F33" s="12"/>
      <c r="G33" s="12"/>
      <c r="H33" s="6"/>
      <c r="I33" s="6"/>
      <c r="J33" s="2"/>
    </row>
    <row r="34" spans="1:16" x14ac:dyDescent="0.25">
      <c r="A34" s="2"/>
      <c r="B34" s="2"/>
      <c r="C34" s="2"/>
      <c r="D34" s="2"/>
      <c r="E34" s="11"/>
      <c r="F34" s="12"/>
      <c r="G34" s="12"/>
      <c r="H34" s="6"/>
      <c r="I34" s="6"/>
      <c r="J34" s="2"/>
    </row>
    <row r="35" spans="1:16" x14ac:dyDescent="0.25">
      <c r="A35" s="2"/>
      <c r="B35" s="2"/>
      <c r="C35" s="2"/>
      <c r="D35" s="2"/>
      <c r="E35" s="11"/>
      <c r="F35" s="12"/>
      <c r="G35" s="12"/>
      <c r="H35" s="6"/>
      <c r="I35" s="6"/>
      <c r="J35" s="2"/>
    </row>
    <row r="36" spans="1:16" x14ac:dyDescent="0.25">
      <c r="A36" s="2"/>
      <c r="B36" s="2"/>
      <c r="C36" s="2"/>
      <c r="D36" s="2"/>
      <c r="E36" s="11"/>
      <c r="F36" s="12"/>
      <c r="G36" s="12"/>
      <c r="H36" s="6"/>
      <c r="I36" s="6"/>
      <c r="J36" s="2"/>
    </row>
    <row r="37" spans="1:16" x14ac:dyDescent="0.25">
      <c r="A37" s="2"/>
      <c r="B37" s="2"/>
      <c r="C37" s="2"/>
      <c r="D37" s="2"/>
      <c r="E37" s="11"/>
      <c r="F37" s="12"/>
      <c r="G37" s="12"/>
      <c r="H37" s="6"/>
      <c r="I37" s="6"/>
      <c r="J37" s="2"/>
    </row>
    <row r="38" spans="1:16" x14ac:dyDescent="0.25">
      <c r="A38" s="2"/>
      <c r="B38" s="2"/>
      <c r="C38" s="2"/>
      <c r="D38" s="2"/>
      <c r="E38" s="11"/>
      <c r="F38" s="12"/>
      <c r="G38" s="12"/>
      <c r="H38" s="6"/>
      <c r="I38" s="6"/>
      <c r="J38" s="2"/>
    </row>
    <row r="39" spans="1:16" x14ac:dyDescent="0.25">
      <c r="A39" s="2"/>
      <c r="B39" s="2"/>
      <c r="C39" s="2"/>
      <c r="D39" s="2"/>
      <c r="E39" s="11"/>
      <c r="F39" s="12"/>
      <c r="G39" s="12"/>
      <c r="H39" s="6"/>
      <c r="I39" s="6"/>
      <c r="J39" s="2"/>
    </row>
    <row r="40" spans="1:16" x14ac:dyDescent="0.25">
      <c r="A40" s="2"/>
      <c r="B40" s="2"/>
      <c r="C40" s="2"/>
      <c r="D40" s="2"/>
      <c r="E40" s="11"/>
      <c r="F40" s="12"/>
      <c r="G40" s="12"/>
      <c r="H40" s="6"/>
      <c r="I40" s="6"/>
      <c r="J40" s="2"/>
    </row>
    <row r="41" spans="1:16" x14ac:dyDescent="0.25">
      <c r="A41" s="2"/>
      <c r="B41" s="2"/>
      <c r="C41" s="2"/>
      <c r="D41" s="2"/>
      <c r="E41" s="11"/>
      <c r="F41" s="12"/>
      <c r="G41" s="12"/>
      <c r="H41" s="6"/>
      <c r="I41" s="6"/>
      <c r="J41" s="2"/>
    </row>
    <row r="42" spans="1:16" x14ac:dyDescent="0.25">
      <c r="A42" s="2"/>
      <c r="B42" s="2"/>
      <c r="C42" s="2"/>
      <c r="D42" s="2"/>
      <c r="E42" s="11"/>
      <c r="F42" s="12"/>
      <c r="G42" s="12"/>
      <c r="H42" s="6"/>
      <c r="I42" s="6"/>
      <c r="J42" s="2"/>
    </row>
    <row r="43" spans="1:16" x14ac:dyDescent="0.25">
      <c r="A43" s="2"/>
      <c r="B43" s="2"/>
      <c r="C43" s="2"/>
      <c r="D43" s="2"/>
      <c r="E43" s="11"/>
      <c r="F43" s="12"/>
      <c r="G43" s="12"/>
      <c r="H43" s="6"/>
      <c r="I43" s="6"/>
      <c r="J43" s="2"/>
    </row>
    <row r="45" spans="1:16" ht="17.25" x14ac:dyDescent="0.25">
      <c r="A45" s="22" t="s">
        <v>40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</row>
    <row r="46" spans="1:16" x14ac:dyDescent="0.25">
      <c r="A46" s="1" t="s">
        <v>32</v>
      </c>
      <c r="B46" s="1" t="s">
        <v>33</v>
      </c>
      <c r="C46" s="1" t="s">
        <v>34</v>
      </c>
      <c r="D46" s="1" t="s">
        <v>8</v>
      </c>
      <c r="E46" s="1" t="s">
        <v>41</v>
      </c>
      <c r="F46" s="1" t="s">
        <v>42</v>
      </c>
      <c r="G46" s="1" t="s">
        <v>43</v>
      </c>
      <c r="H46" s="1" t="s">
        <v>44</v>
      </c>
      <c r="I46" s="1" t="s">
        <v>45</v>
      </c>
      <c r="J46" s="1" t="s">
        <v>46</v>
      </c>
      <c r="K46" s="1" t="s">
        <v>47</v>
      </c>
      <c r="L46" s="1" t="s">
        <v>48</v>
      </c>
      <c r="M46" s="1" t="s">
        <v>49</v>
      </c>
      <c r="N46" s="1" t="s">
        <v>50</v>
      </c>
      <c r="O46" s="1" t="s">
        <v>51</v>
      </c>
      <c r="P46" s="1" t="s">
        <v>52</v>
      </c>
    </row>
    <row r="47" spans="1:16" x14ac:dyDescent="0.25">
      <c r="A47" s="7" t="str">
        <f t="shared" ref="A47:D66" si="0">IFERROR(IF(A5="","",A5),"")</f>
        <v/>
      </c>
      <c r="B47" s="7" t="str">
        <f t="shared" si="0"/>
        <v/>
      </c>
      <c r="C47" s="7" t="str">
        <f t="shared" si="0"/>
        <v/>
      </c>
      <c r="D47" s="7" t="str">
        <f t="shared" si="0"/>
        <v/>
      </c>
      <c r="E47" s="13" t="str">
        <f t="shared" ref="E47:E85" si="1">IFERROR(IF(OR(C5="", F5="", H5="", F5=0, H5=0), "", E5/(F5*H5)), "")</f>
        <v/>
      </c>
      <c r="F47" s="13" t="str">
        <f t="shared" ref="F47:F85" si="2">IFERROR(IF(OR(C5="", G5="", I5="", G5=0, I5=0), "", E5/(G5*I5)), "")</f>
        <v/>
      </c>
      <c r="G47" s="13" t="str">
        <f t="shared" ref="G47:G85" si="3">IFERROR(IF(OR(C5="", E47="", F47=""), "", F47-E47), "")</f>
        <v/>
      </c>
      <c r="H47" s="8" t="str">
        <f>IFERROR(IF(OR(C5="", E47=""), "", E47*IFERROR(VLOOKUP(D5,'1_MASTER_RATES'!A$9:E$12,2,FALSE),0)), "")</f>
        <v/>
      </c>
      <c r="I47" s="8" t="str">
        <f>IFERROR(IF(OR(C5="", F47=""), "", F47*IFERROR(VLOOKUP(D5,'1_MASTER_RATES'!A$9:E$12,2,FALSE),0)), "")</f>
        <v/>
      </c>
      <c r="J47" s="8" t="str">
        <f t="shared" ref="J47:J85" si="4">IFERROR(IF(OR(C5="", H47="", I47=""), "", I47-H47), "")</f>
        <v/>
      </c>
      <c r="K47" s="8" t="str">
        <f>IFERROR(IF(OR(C5="", E47=""), "", E47*IFERROR(VLOOKUP(D5,'1_MASTER_RATES'!A$9:E$12,3,FALSE),0)), "")</f>
        <v/>
      </c>
      <c r="L47" s="8" t="str">
        <f>IFERROR(IF(OR(C5="", F47=""), "", F47*IFERROR(VLOOKUP(D5,'1_MASTER_RATES'!A$9:E$12,3,FALSE),0)), "")</f>
        <v/>
      </c>
      <c r="M47" s="8" t="str">
        <f t="shared" ref="M47:M85" si="5">IFERROR(IF(OR(C5="", K47="", L47=""), "", L47-K47), "")</f>
        <v/>
      </c>
      <c r="N47" s="8" t="str">
        <f t="shared" ref="N47:N85" si="6">IFERROR(IF(C5="","", H47+K47), "")</f>
        <v/>
      </c>
      <c r="O47" s="8" t="str">
        <f t="shared" ref="O47:O85" si="7">IFERROR(IF(C5="","", I47+L47), "")</f>
        <v/>
      </c>
      <c r="P47" s="8" t="str">
        <f t="shared" ref="P47:P85" si="8">IFERROR(IF(C5="","", O47-N47), "")</f>
        <v/>
      </c>
    </row>
    <row r="48" spans="1:16" x14ac:dyDescent="0.25">
      <c r="A48" s="7" t="str">
        <f t="shared" si="0"/>
        <v/>
      </c>
      <c r="B48" s="7" t="str">
        <f t="shared" si="0"/>
        <v/>
      </c>
      <c r="C48" s="7" t="str">
        <f t="shared" si="0"/>
        <v/>
      </c>
      <c r="D48" s="7" t="str">
        <f t="shared" si="0"/>
        <v/>
      </c>
      <c r="E48" s="13" t="str">
        <f t="shared" si="1"/>
        <v/>
      </c>
      <c r="F48" s="13" t="str">
        <f t="shared" si="2"/>
        <v/>
      </c>
      <c r="G48" s="13" t="str">
        <f t="shared" si="3"/>
        <v/>
      </c>
      <c r="H48" s="8" t="str">
        <f>IFERROR(IF(OR(C6="", E48=""), "", E48*IFERROR(VLOOKUP(D6,'1_MASTER_RATES'!A$9:E$12,2,FALSE),0)), "")</f>
        <v/>
      </c>
      <c r="I48" s="8" t="str">
        <f>IFERROR(IF(OR(C6="", F48=""), "", F48*IFERROR(VLOOKUP(D6,'1_MASTER_RATES'!A$9:E$12,2,FALSE),0)), "")</f>
        <v/>
      </c>
      <c r="J48" s="8" t="str">
        <f t="shared" si="4"/>
        <v/>
      </c>
      <c r="K48" s="8" t="str">
        <f>IFERROR(IF(OR(C6="", E48=""), "", E48*IFERROR(VLOOKUP(D6,'1_MASTER_RATES'!A$9:E$12,3,FALSE),0)), "")</f>
        <v/>
      </c>
      <c r="L48" s="8" t="str">
        <f>IFERROR(IF(OR(C6="", F48=""), "", F48*IFERROR(VLOOKUP(D6,'1_MASTER_RATES'!A$9:E$12,3,FALSE),0)), "")</f>
        <v/>
      </c>
      <c r="M48" s="8" t="str">
        <f t="shared" si="5"/>
        <v/>
      </c>
      <c r="N48" s="8" t="str">
        <f t="shared" si="6"/>
        <v/>
      </c>
      <c r="O48" s="8" t="str">
        <f t="shared" si="7"/>
        <v/>
      </c>
      <c r="P48" s="8" t="str">
        <f t="shared" si="8"/>
        <v/>
      </c>
    </row>
    <row r="49" spans="1:16" x14ac:dyDescent="0.25">
      <c r="A49" s="7" t="str">
        <f t="shared" si="0"/>
        <v/>
      </c>
      <c r="B49" s="7" t="str">
        <f t="shared" si="0"/>
        <v/>
      </c>
      <c r="C49" s="7" t="str">
        <f t="shared" si="0"/>
        <v/>
      </c>
      <c r="D49" s="7" t="str">
        <f t="shared" si="0"/>
        <v/>
      </c>
      <c r="E49" s="13" t="str">
        <f t="shared" si="1"/>
        <v/>
      </c>
      <c r="F49" s="13" t="str">
        <f t="shared" si="2"/>
        <v/>
      </c>
      <c r="G49" s="13" t="str">
        <f t="shared" si="3"/>
        <v/>
      </c>
      <c r="H49" s="8" t="str">
        <f>IFERROR(IF(OR(C7="", E49=""), "", E49*IFERROR(VLOOKUP(D7,'1_MASTER_RATES'!A$9:E$12,2,FALSE),0)), "")</f>
        <v/>
      </c>
      <c r="I49" s="8" t="str">
        <f>IFERROR(IF(OR(C7="", F49=""), "", F49*IFERROR(VLOOKUP(D7,'1_MASTER_RATES'!A$9:E$12,2,FALSE),0)), "")</f>
        <v/>
      </c>
      <c r="J49" s="8" t="str">
        <f t="shared" si="4"/>
        <v/>
      </c>
      <c r="K49" s="8" t="str">
        <f>IFERROR(IF(OR(C7="", E49=""), "", E49*IFERROR(VLOOKUP(D7,'1_MASTER_RATES'!A$9:E$12,3,FALSE),0)), "")</f>
        <v/>
      </c>
      <c r="L49" s="8" t="str">
        <f>IFERROR(IF(OR(C7="", F49=""), "", F49*IFERROR(VLOOKUP(D7,'1_MASTER_RATES'!A$9:E$12,3,FALSE),0)), "")</f>
        <v/>
      </c>
      <c r="M49" s="8" t="str">
        <f t="shared" si="5"/>
        <v/>
      </c>
      <c r="N49" s="8" t="str">
        <f t="shared" si="6"/>
        <v/>
      </c>
      <c r="O49" s="8" t="str">
        <f t="shared" si="7"/>
        <v/>
      </c>
      <c r="P49" s="8" t="str">
        <f t="shared" si="8"/>
        <v/>
      </c>
    </row>
    <row r="50" spans="1:16" x14ac:dyDescent="0.25">
      <c r="A50" s="7" t="str">
        <f t="shared" si="0"/>
        <v/>
      </c>
      <c r="B50" s="7" t="str">
        <f t="shared" si="0"/>
        <v/>
      </c>
      <c r="C50" s="7" t="str">
        <f t="shared" si="0"/>
        <v/>
      </c>
      <c r="D50" s="7" t="str">
        <f t="shared" si="0"/>
        <v/>
      </c>
      <c r="E50" s="13" t="str">
        <f t="shared" si="1"/>
        <v/>
      </c>
      <c r="F50" s="13" t="str">
        <f t="shared" si="2"/>
        <v/>
      </c>
      <c r="G50" s="13" t="str">
        <f t="shared" si="3"/>
        <v/>
      </c>
      <c r="H50" s="8" t="str">
        <f>IFERROR(IF(OR(C8="", E50=""), "", E50*IFERROR(VLOOKUP(D8,'1_MASTER_RATES'!A$9:E$12,2,FALSE),0)), "")</f>
        <v/>
      </c>
      <c r="I50" s="8" t="str">
        <f>IFERROR(IF(OR(C8="", F50=""), "", F50*IFERROR(VLOOKUP(D8,'1_MASTER_RATES'!A$9:E$12,2,FALSE),0)), "")</f>
        <v/>
      </c>
      <c r="J50" s="8" t="str">
        <f t="shared" si="4"/>
        <v/>
      </c>
      <c r="K50" s="8" t="str">
        <f>IFERROR(IF(OR(C8="", E50=""), "", E50*IFERROR(VLOOKUP(D8,'1_MASTER_RATES'!A$9:E$12,3,FALSE),0)), "")</f>
        <v/>
      </c>
      <c r="L50" s="8" t="str">
        <f>IFERROR(IF(OR(C8="", F50=""), "", F50*IFERROR(VLOOKUP(D8,'1_MASTER_RATES'!A$9:E$12,3,FALSE),0)), "")</f>
        <v/>
      </c>
      <c r="M50" s="8" t="str">
        <f t="shared" si="5"/>
        <v/>
      </c>
      <c r="N50" s="8" t="str">
        <f t="shared" si="6"/>
        <v/>
      </c>
      <c r="O50" s="8" t="str">
        <f t="shared" si="7"/>
        <v/>
      </c>
      <c r="P50" s="8" t="str">
        <f t="shared" si="8"/>
        <v/>
      </c>
    </row>
    <row r="51" spans="1:16" x14ac:dyDescent="0.25">
      <c r="A51" s="7" t="str">
        <f t="shared" si="0"/>
        <v/>
      </c>
      <c r="B51" s="7" t="str">
        <f t="shared" si="0"/>
        <v/>
      </c>
      <c r="C51" s="7" t="str">
        <f t="shared" si="0"/>
        <v/>
      </c>
      <c r="D51" s="7" t="str">
        <f t="shared" si="0"/>
        <v/>
      </c>
      <c r="E51" s="13" t="str">
        <f t="shared" si="1"/>
        <v/>
      </c>
      <c r="F51" s="13" t="str">
        <f t="shared" si="2"/>
        <v/>
      </c>
      <c r="G51" s="13" t="str">
        <f t="shared" si="3"/>
        <v/>
      </c>
      <c r="H51" s="8" t="str">
        <f>IFERROR(IF(OR(C9="", E51=""), "", E51*IFERROR(VLOOKUP(D9,'1_MASTER_RATES'!A$9:E$12,2,FALSE),0)), "")</f>
        <v/>
      </c>
      <c r="I51" s="8" t="str">
        <f>IFERROR(IF(OR(C9="", F51=""), "", F51*IFERROR(VLOOKUP(D9,'1_MASTER_RATES'!A$9:E$12,2,FALSE),0)), "")</f>
        <v/>
      </c>
      <c r="J51" s="8" t="str">
        <f t="shared" si="4"/>
        <v/>
      </c>
      <c r="K51" s="8" t="str">
        <f>IFERROR(IF(OR(C9="", E51=""), "", E51*IFERROR(VLOOKUP(D9,'1_MASTER_RATES'!A$9:E$12,3,FALSE),0)), "")</f>
        <v/>
      </c>
      <c r="L51" s="8" t="str">
        <f>IFERROR(IF(OR(C9="", F51=""), "", F51*IFERROR(VLOOKUP(D9,'1_MASTER_RATES'!A$9:E$12,3,FALSE),0)), "")</f>
        <v/>
      </c>
      <c r="M51" s="8" t="str">
        <f t="shared" si="5"/>
        <v/>
      </c>
      <c r="N51" s="8" t="str">
        <f t="shared" si="6"/>
        <v/>
      </c>
      <c r="O51" s="8" t="str">
        <f t="shared" si="7"/>
        <v/>
      </c>
      <c r="P51" s="8" t="str">
        <f t="shared" si="8"/>
        <v/>
      </c>
    </row>
    <row r="52" spans="1:16" x14ac:dyDescent="0.25">
      <c r="A52" s="7" t="str">
        <f t="shared" si="0"/>
        <v/>
      </c>
      <c r="B52" s="7" t="str">
        <f t="shared" si="0"/>
        <v/>
      </c>
      <c r="C52" s="7" t="str">
        <f t="shared" si="0"/>
        <v/>
      </c>
      <c r="D52" s="7" t="str">
        <f t="shared" si="0"/>
        <v/>
      </c>
      <c r="E52" s="13" t="str">
        <f t="shared" si="1"/>
        <v/>
      </c>
      <c r="F52" s="13" t="str">
        <f t="shared" si="2"/>
        <v/>
      </c>
      <c r="G52" s="13" t="str">
        <f t="shared" si="3"/>
        <v/>
      </c>
      <c r="H52" s="8" t="str">
        <f>IFERROR(IF(OR(C10="", E52=""), "", E52*IFERROR(VLOOKUP(D10,'1_MASTER_RATES'!A$9:E$12,2,FALSE),0)), "")</f>
        <v/>
      </c>
      <c r="I52" s="8" t="str">
        <f>IFERROR(IF(OR(C10="", F52=""), "", F52*IFERROR(VLOOKUP(D10,'1_MASTER_RATES'!A$9:E$12,2,FALSE),0)), "")</f>
        <v/>
      </c>
      <c r="J52" s="8" t="str">
        <f t="shared" si="4"/>
        <v/>
      </c>
      <c r="K52" s="8" t="str">
        <f>IFERROR(IF(OR(C10="", E52=""), "", E52*IFERROR(VLOOKUP(D10,'1_MASTER_RATES'!A$9:E$12,3,FALSE),0)), "")</f>
        <v/>
      </c>
      <c r="L52" s="8" t="str">
        <f>IFERROR(IF(OR(C10="", F52=""), "", F52*IFERROR(VLOOKUP(D10,'1_MASTER_RATES'!A$9:E$12,3,FALSE),0)), "")</f>
        <v/>
      </c>
      <c r="M52" s="8" t="str">
        <f t="shared" si="5"/>
        <v/>
      </c>
      <c r="N52" s="8" t="str">
        <f t="shared" si="6"/>
        <v/>
      </c>
      <c r="O52" s="8" t="str">
        <f t="shared" si="7"/>
        <v/>
      </c>
      <c r="P52" s="8" t="str">
        <f t="shared" si="8"/>
        <v/>
      </c>
    </row>
    <row r="53" spans="1:16" x14ac:dyDescent="0.25">
      <c r="A53" s="7" t="str">
        <f t="shared" si="0"/>
        <v/>
      </c>
      <c r="B53" s="7" t="str">
        <f t="shared" si="0"/>
        <v/>
      </c>
      <c r="C53" s="7" t="str">
        <f t="shared" si="0"/>
        <v/>
      </c>
      <c r="D53" s="7" t="str">
        <f t="shared" si="0"/>
        <v/>
      </c>
      <c r="E53" s="13" t="str">
        <f t="shared" si="1"/>
        <v/>
      </c>
      <c r="F53" s="13" t="str">
        <f t="shared" si="2"/>
        <v/>
      </c>
      <c r="G53" s="13" t="str">
        <f t="shared" si="3"/>
        <v/>
      </c>
      <c r="H53" s="8" t="str">
        <f>IFERROR(IF(OR(C11="", E53=""), "", E53*IFERROR(VLOOKUP(D11,'1_MASTER_RATES'!A$9:E$12,2,FALSE),0)), "")</f>
        <v/>
      </c>
      <c r="I53" s="8" t="str">
        <f>IFERROR(IF(OR(C11="", F53=""), "", F53*IFERROR(VLOOKUP(D11,'1_MASTER_RATES'!A$9:E$12,2,FALSE),0)), "")</f>
        <v/>
      </c>
      <c r="J53" s="8" t="str">
        <f t="shared" si="4"/>
        <v/>
      </c>
      <c r="K53" s="8" t="str">
        <f>IFERROR(IF(OR(C11="", E53=""), "", E53*IFERROR(VLOOKUP(D11,'1_MASTER_RATES'!A$9:E$12,3,FALSE),0)), "")</f>
        <v/>
      </c>
      <c r="L53" s="8" t="str">
        <f>IFERROR(IF(OR(C11="", F53=""), "", F53*IFERROR(VLOOKUP(D11,'1_MASTER_RATES'!A$9:E$12,3,FALSE),0)), "")</f>
        <v/>
      </c>
      <c r="M53" s="8" t="str">
        <f t="shared" si="5"/>
        <v/>
      </c>
      <c r="N53" s="8" t="str">
        <f t="shared" si="6"/>
        <v/>
      </c>
      <c r="O53" s="8" t="str">
        <f t="shared" si="7"/>
        <v/>
      </c>
      <c r="P53" s="8" t="str">
        <f t="shared" si="8"/>
        <v/>
      </c>
    </row>
    <row r="54" spans="1:16" x14ac:dyDescent="0.25">
      <c r="A54" s="7" t="str">
        <f t="shared" si="0"/>
        <v/>
      </c>
      <c r="B54" s="7" t="str">
        <f t="shared" si="0"/>
        <v/>
      </c>
      <c r="C54" s="7" t="str">
        <f t="shared" si="0"/>
        <v/>
      </c>
      <c r="D54" s="7" t="str">
        <f t="shared" si="0"/>
        <v/>
      </c>
      <c r="E54" s="13" t="str">
        <f t="shared" si="1"/>
        <v/>
      </c>
      <c r="F54" s="13" t="str">
        <f t="shared" si="2"/>
        <v/>
      </c>
      <c r="G54" s="13" t="str">
        <f t="shared" si="3"/>
        <v/>
      </c>
      <c r="H54" s="8" t="str">
        <f>IFERROR(IF(OR(C12="", E54=""), "", E54*IFERROR(VLOOKUP(D12,'1_MASTER_RATES'!A$9:E$12,2,FALSE),0)), "")</f>
        <v/>
      </c>
      <c r="I54" s="8" t="str">
        <f>IFERROR(IF(OR(C12="", F54=""), "", F54*IFERROR(VLOOKUP(D12,'1_MASTER_RATES'!A$9:E$12,2,FALSE),0)), "")</f>
        <v/>
      </c>
      <c r="J54" s="8" t="str">
        <f t="shared" si="4"/>
        <v/>
      </c>
      <c r="K54" s="8" t="str">
        <f>IFERROR(IF(OR(C12="", E54=""), "", E54*IFERROR(VLOOKUP(D12,'1_MASTER_RATES'!A$9:E$12,3,FALSE),0)), "")</f>
        <v/>
      </c>
      <c r="L54" s="8" t="str">
        <f>IFERROR(IF(OR(C12="", F54=""), "", F54*IFERROR(VLOOKUP(D12,'1_MASTER_RATES'!A$9:E$12,3,FALSE),0)), "")</f>
        <v/>
      </c>
      <c r="M54" s="8" t="str">
        <f t="shared" si="5"/>
        <v/>
      </c>
      <c r="N54" s="8" t="str">
        <f t="shared" si="6"/>
        <v/>
      </c>
      <c r="O54" s="8" t="str">
        <f t="shared" si="7"/>
        <v/>
      </c>
      <c r="P54" s="8" t="str">
        <f t="shared" si="8"/>
        <v/>
      </c>
    </row>
    <row r="55" spans="1:16" x14ac:dyDescent="0.25">
      <c r="A55" s="7" t="str">
        <f t="shared" si="0"/>
        <v/>
      </c>
      <c r="B55" s="7" t="str">
        <f t="shared" si="0"/>
        <v/>
      </c>
      <c r="C55" s="7" t="str">
        <f t="shared" si="0"/>
        <v/>
      </c>
      <c r="D55" s="7" t="str">
        <f t="shared" si="0"/>
        <v/>
      </c>
      <c r="E55" s="13" t="str">
        <f t="shared" si="1"/>
        <v/>
      </c>
      <c r="F55" s="13" t="str">
        <f t="shared" si="2"/>
        <v/>
      </c>
      <c r="G55" s="13" t="str">
        <f t="shared" si="3"/>
        <v/>
      </c>
      <c r="H55" s="8" t="str">
        <f>IFERROR(IF(OR(C13="", E55=""), "", E55*IFERROR(VLOOKUP(D13,'1_MASTER_RATES'!A$9:E$12,2,FALSE),0)), "")</f>
        <v/>
      </c>
      <c r="I55" s="8" t="str">
        <f>IFERROR(IF(OR(C13="", F55=""), "", F55*IFERROR(VLOOKUP(D13,'1_MASTER_RATES'!A$9:E$12,2,FALSE),0)), "")</f>
        <v/>
      </c>
      <c r="J55" s="8" t="str">
        <f t="shared" si="4"/>
        <v/>
      </c>
      <c r="K55" s="8" t="str">
        <f>IFERROR(IF(OR(C13="", E55=""), "", E55*IFERROR(VLOOKUP(D13,'1_MASTER_RATES'!A$9:E$12,3,FALSE),0)), "")</f>
        <v/>
      </c>
      <c r="L55" s="8" t="str">
        <f>IFERROR(IF(OR(C13="", F55=""), "", F55*IFERROR(VLOOKUP(D13,'1_MASTER_RATES'!A$9:E$12,3,FALSE),0)), "")</f>
        <v/>
      </c>
      <c r="M55" s="8" t="str">
        <f t="shared" si="5"/>
        <v/>
      </c>
      <c r="N55" s="8" t="str">
        <f t="shared" si="6"/>
        <v/>
      </c>
      <c r="O55" s="8" t="str">
        <f t="shared" si="7"/>
        <v/>
      </c>
      <c r="P55" s="8" t="str">
        <f t="shared" si="8"/>
        <v/>
      </c>
    </row>
    <row r="56" spans="1:16" x14ac:dyDescent="0.25">
      <c r="A56" s="7" t="str">
        <f t="shared" si="0"/>
        <v/>
      </c>
      <c r="B56" s="7" t="str">
        <f t="shared" si="0"/>
        <v/>
      </c>
      <c r="C56" s="7" t="str">
        <f t="shared" si="0"/>
        <v/>
      </c>
      <c r="D56" s="7" t="str">
        <f t="shared" si="0"/>
        <v/>
      </c>
      <c r="E56" s="13" t="str">
        <f t="shared" si="1"/>
        <v/>
      </c>
      <c r="F56" s="13" t="str">
        <f t="shared" si="2"/>
        <v/>
      </c>
      <c r="G56" s="13" t="str">
        <f t="shared" si="3"/>
        <v/>
      </c>
      <c r="H56" s="8" t="str">
        <f>IFERROR(IF(OR(C14="", E56=""), "", E56*IFERROR(VLOOKUP(D14,'1_MASTER_RATES'!A$9:E$12,2,FALSE),0)), "")</f>
        <v/>
      </c>
      <c r="I56" s="8" t="str">
        <f>IFERROR(IF(OR(C14="", F56=""), "", F56*IFERROR(VLOOKUP(D14,'1_MASTER_RATES'!A$9:E$12,2,FALSE),0)), "")</f>
        <v/>
      </c>
      <c r="J56" s="8" t="str">
        <f t="shared" si="4"/>
        <v/>
      </c>
      <c r="K56" s="8" t="str">
        <f>IFERROR(IF(OR(C14="", E56=""), "", E56*IFERROR(VLOOKUP(D14,'1_MASTER_RATES'!A$9:E$12,3,FALSE),0)), "")</f>
        <v/>
      </c>
      <c r="L56" s="8" t="str">
        <f>IFERROR(IF(OR(C14="", F56=""), "", F56*IFERROR(VLOOKUP(D14,'1_MASTER_RATES'!A$9:E$12,3,FALSE),0)), "")</f>
        <v/>
      </c>
      <c r="M56" s="8" t="str">
        <f t="shared" si="5"/>
        <v/>
      </c>
      <c r="N56" s="8" t="str">
        <f t="shared" si="6"/>
        <v/>
      </c>
      <c r="O56" s="8" t="str">
        <f t="shared" si="7"/>
        <v/>
      </c>
      <c r="P56" s="8" t="str">
        <f t="shared" si="8"/>
        <v/>
      </c>
    </row>
    <row r="57" spans="1:16" x14ac:dyDescent="0.25">
      <c r="A57" s="7" t="str">
        <f t="shared" si="0"/>
        <v/>
      </c>
      <c r="B57" s="7" t="str">
        <f t="shared" si="0"/>
        <v/>
      </c>
      <c r="C57" s="7" t="str">
        <f t="shared" si="0"/>
        <v/>
      </c>
      <c r="D57" s="7" t="str">
        <f t="shared" si="0"/>
        <v/>
      </c>
      <c r="E57" s="13" t="str">
        <f t="shared" si="1"/>
        <v/>
      </c>
      <c r="F57" s="13" t="str">
        <f t="shared" si="2"/>
        <v/>
      </c>
      <c r="G57" s="13" t="str">
        <f t="shared" si="3"/>
        <v/>
      </c>
      <c r="H57" s="8" t="str">
        <f>IFERROR(IF(OR(C15="", E57=""), "", E57*IFERROR(VLOOKUP(D15,'1_MASTER_RATES'!A$9:E$12,2,FALSE),0)), "")</f>
        <v/>
      </c>
      <c r="I57" s="8" t="str">
        <f>IFERROR(IF(OR(C15="", F57=""), "", F57*IFERROR(VLOOKUP(D15,'1_MASTER_RATES'!A$9:E$12,2,FALSE),0)), "")</f>
        <v/>
      </c>
      <c r="J57" s="8" t="str">
        <f t="shared" si="4"/>
        <v/>
      </c>
      <c r="K57" s="8" t="str">
        <f>IFERROR(IF(OR(C15="", E57=""), "", E57*IFERROR(VLOOKUP(D15,'1_MASTER_RATES'!A$9:E$12,3,FALSE),0)), "")</f>
        <v/>
      </c>
      <c r="L57" s="8" t="str">
        <f>IFERROR(IF(OR(C15="", F57=""), "", F57*IFERROR(VLOOKUP(D15,'1_MASTER_RATES'!A$9:E$12,3,FALSE),0)), "")</f>
        <v/>
      </c>
      <c r="M57" s="8" t="str">
        <f t="shared" si="5"/>
        <v/>
      </c>
      <c r="N57" s="8" t="str">
        <f t="shared" si="6"/>
        <v/>
      </c>
      <c r="O57" s="8" t="str">
        <f t="shared" si="7"/>
        <v/>
      </c>
      <c r="P57" s="8" t="str">
        <f t="shared" si="8"/>
        <v/>
      </c>
    </row>
    <row r="58" spans="1:16" x14ac:dyDescent="0.25">
      <c r="A58" s="7" t="str">
        <f t="shared" si="0"/>
        <v/>
      </c>
      <c r="B58" s="7" t="str">
        <f t="shared" si="0"/>
        <v/>
      </c>
      <c r="C58" s="7" t="str">
        <f t="shared" si="0"/>
        <v/>
      </c>
      <c r="D58" s="7" t="str">
        <f t="shared" si="0"/>
        <v/>
      </c>
      <c r="E58" s="13" t="str">
        <f t="shared" si="1"/>
        <v/>
      </c>
      <c r="F58" s="13" t="str">
        <f t="shared" si="2"/>
        <v/>
      </c>
      <c r="G58" s="13" t="str">
        <f t="shared" si="3"/>
        <v/>
      </c>
      <c r="H58" s="8" t="str">
        <f>IFERROR(IF(OR(C16="", E58=""), "", E58*IFERROR(VLOOKUP(D16,'1_MASTER_RATES'!A$9:E$12,2,FALSE),0)), "")</f>
        <v/>
      </c>
      <c r="I58" s="8" t="str">
        <f>IFERROR(IF(OR(C16="", F58=""), "", F58*IFERROR(VLOOKUP(D16,'1_MASTER_RATES'!A$9:E$12,2,FALSE),0)), "")</f>
        <v/>
      </c>
      <c r="J58" s="8" t="str">
        <f t="shared" si="4"/>
        <v/>
      </c>
      <c r="K58" s="8" t="str">
        <f>IFERROR(IF(OR(C16="", E58=""), "", E58*IFERROR(VLOOKUP(D16,'1_MASTER_RATES'!A$9:E$12,3,FALSE),0)), "")</f>
        <v/>
      </c>
      <c r="L58" s="8" t="str">
        <f>IFERROR(IF(OR(C16="", F58=""), "", F58*IFERROR(VLOOKUP(D16,'1_MASTER_RATES'!A$9:E$12,3,FALSE),0)), "")</f>
        <v/>
      </c>
      <c r="M58" s="8" t="str">
        <f t="shared" si="5"/>
        <v/>
      </c>
      <c r="N58" s="8" t="str">
        <f t="shared" si="6"/>
        <v/>
      </c>
      <c r="O58" s="8" t="str">
        <f t="shared" si="7"/>
        <v/>
      </c>
      <c r="P58" s="8" t="str">
        <f t="shared" si="8"/>
        <v/>
      </c>
    </row>
    <row r="59" spans="1:16" x14ac:dyDescent="0.25">
      <c r="A59" s="7" t="str">
        <f t="shared" si="0"/>
        <v/>
      </c>
      <c r="B59" s="7" t="str">
        <f t="shared" si="0"/>
        <v/>
      </c>
      <c r="C59" s="7" t="str">
        <f t="shared" si="0"/>
        <v/>
      </c>
      <c r="D59" s="7" t="str">
        <f t="shared" si="0"/>
        <v/>
      </c>
      <c r="E59" s="13" t="str">
        <f t="shared" si="1"/>
        <v/>
      </c>
      <c r="F59" s="13" t="str">
        <f t="shared" si="2"/>
        <v/>
      </c>
      <c r="G59" s="13" t="str">
        <f t="shared" si="3"/>
        <v/>
      </c>
      <c r="H59" s="8" t="str">
        <f>IFERROR(IF(OR(C17="", E59=""), "", E59*IFERROR(VLOOKUP(D17,'1_MASTER_RATES'!A$9:E$12,2,FALSE),0)), "")</f>
        <v/>
      </c>
      <c r="I59" s="8" t="str">
        <f>IFERROR(IF(OR(C17="", F59=""), "", F59*IFERROR(VLOOKUP(D17,'1_MASTER_RATES'!A$9:E$12,2,FALSE),0)), "")</f>
        <v/>
      </c>
      <c r="J59" s="8" t="str">
        <f t="shared" si="4"/>
        <v/>
      </c>
      <c r="K59" s="8" t="str">
        <f>IFERROR(IF(OR(C17="", E59=""), "", E59*IFERROR(VLOOKUP(D17,'1_MASTER_RATES'!A$9:E$12,3,FALSE),0)), "")</f>
        <v/>
      </c>
      <c r="L59" s="8" t="str">
        <f>IFERROR(IF(OR(C17="", F59=""), "", F59*IFERROR(VLOOKUP(D17,'1_MASTER_RATES'!A$9:E$12,3,FALSE),0)), "")</f>
        <v/>
      </c>
      <c r="M59" s="8" t="str">
        <f t="shared" si="5"/>
        <v/>
      </c>
      <c r="N59" s="8" t="str">
        <f t="shared" si="6"/>
        <v/>
      </c>
      <c r="O59" s="8" t="str">
        <f t="shared" si="7"/>
        <v/>
      </c>
      <c r="P59" s="8" t="str">
        <f t="shared" si="8"/>
        <v/>
      </c>
    </row>
    <row r="60" spans="1:16" x14ac:dyDescent="0.25">
      <c r="A60" s="7" t="str">
        <f t="shared" si="0"/>
        <v/>
      </c>
      <c r="B60" s="7" t="str">
        <f t="shared" si="0"/>
        <v/>
      </c>
      <c r="C60" s="7" t="str">
        <f t="shared" si="0"/>
        <v/>
      </c>
      <c r="D60" s="7" t="str">
        <f t="shared" si="0"/>
        <v/>
      </c>
      <c r="E60" s="13" t="str">
        <f t="shared" si="1"/>
        <v/>
      </c>
      <c r="F60" s="13" t="str">
        <f t="shared" si="2"/>
        <v/>
      </c>
      <c r="G60" s="13" t="str">
        <f t="shared" si="3"/>
        <v/>
      </c>
      <c r="H60" s="8" t="str">
        <f>IFERROR(IF(OR(C18="", E60=""), "", E60*IFERROR(VLOOKUP(D18,'1_MASTER_RATES'!A$9:E$12,2,FALSE),0)), "")</f>
        <v/>
      </c>
      <c r="I60" s="8" t="str">
        <f>IFERROR(IF(OR(C18="", F60=""), "", F60*IFERROR(VLOOKUP(D18,'1_MASTER_RATES'!A$9:E$12,2,FALSE),0)), "")</f>
        <v/>
      </c>
      <c r="J60" s="8" t="str">
        <f t="shared" si="4"/>
        <v/>
      </c>
      <c r="K60" s="8" t="str">
        <f>IFERROR(IF(OR(C18="", E60=""), "", E60*IFERROR(VLOOKUP(D18,'1_MASTER_RATES'!A$9:E$12,3,FALSE),0)), "")</f>
        <v/>
      </c>
      <c r="L60" s="8" t="str">
        <f>IFERROR(IF(OR(C18="", F60=""), "", F60*IFERROR(VLOOKUP(D18,'1_MASTER_RATES'!A$9:E$12,3,FALSE),0)), "")</f>
        <v/>
      </c>
      <c r="M60" s="8" t="str">
        <f t="shared" si="5"/>
        <v/>
      </c>
      <c r="N60" s="8" t="str">
        <f t="shared" si="6"/>
        <v/>
      </c>
      <c r="O60" s="8" t="str">
        <f t="shared" si="7"/>
        <v/>
      </c>
      <c r="P60" s="8" t="str">
        <f t="shared" si="8"/>
        <v/>
      </c>
    </row>
    <row r="61" spans="1:16" x14ac:dyDescent="0.25">
      <c r="A61" s="7" t="str">
        <f t="shared" si="0"/>
        <v/>
      </c>
      <c r="B61" s="7" t="str">
        <f t="shared" si="0"/>
        <v/>
      </c>
      <c r="C61" s="7" t="str">
        <f t="shared" si="0"/>
        <v/>
      </c>
      <c r="D61" s="7" t="str">
        <f t="shared" si="0"/>
        <v/>
      </c>
      <c r="E61" s="13" t="str">
        <f t="shared" si="1"/>
        <v/>
      </c>
      <c r="F61" s="13" t="str">
        <f t="shared" si="2"/>
        <v/>
      </c>
      <c r="G61" s="13" t="str">
        <f t="shared" si="3"/>
        <v/>
      </c>
      <c r="H61" s="8" t="str">
        <f>IFERROR(IF(OR(C19="", E61=""), "", E61*IFERROR(VLOOKUP(D19,'1_MASTER_RATES'!A$9:E$12,2,FALSE),0)), "")</f>
        <v/>
      </c>
      <c r="I61" s="8" t="str">
        <f>IFERROR(IF(OR(C19="", F61=""), "", F61*IFERROR(VLOOKUP(D19,'1_MASTER_RATES'!A$9:E$12,2,FALSE),0)), "")</f>
        <v/>
      </c>
      <c r="J61" s="8" t="str">
        <f t="shared" si="4"/>
        <v/>
      </c>
      <c r="K61" s="8" t="str">
        <f>IFERROR(IF(OR(C19="", E61=""), "", E61*IFERROR(VLOOKUP(D19,'1_MASTER_RATES'!A$9:E$12,3,FALSE),0)), "")</f>
        <v/>
      </c>
      <c r="L61" s="8" t="str">
        <f>IFERROR(IF(OR(C19="", F61=""), "", F61*IFERROR(VLOOKUP(D19,'1_MASTER_RATES'!A$9:E$12,3,FALSE),0)), "")</f>
        <v/>
      </c>
      <c r="M61" s="8" t="str">
        <f t="shared" si="5"/>
        <v/>
      </c>
      <c r="N61" s="8" t="str">
        <f t="shared" si="6"/>
        <v/>
      </c>
      <c r="O61" s="8" t="str">
        <f t="shared" si="7"/>
        <v/>
      </c>
      <c r="P61" s="8" t="str">
        <f t="shared" si="8"/>
        <v/>
      </c>
    </row>
    <row r="62" spans="1:16" x14ac:dyDescent="0.25">
      <c r="A62" s="7" t="str">
        <f t="shared" si="0"/>
        <v/>
      </c>
      <c r="B62" s="7" t="str">
        <f t="shared" si="0"/>
        <v/>
      </c>
      <c r="C62" s="7" t="str">
        <f t="shared" si="0"/>
        <v/>
      </c>
      <c r="D62" s="7" t="str">
        <f t="shared" si="0"/>
        <v/>
      </c>
      <c r="E62" s="13" t="str">
        <f t="shared" si="1"/>
        <v/>
      </c>
      <c r="F62" s="13" t="str">
        <f t="shared" si="2"/>
        <v/>
      </c>
      <c r="G62" s="13" t="str">
        <f t="shared" si="3"/>
        <v/>
      </c>
      <c r="H62" s="8" t="str">
        <f>IFERROR(IF(OR(C20="", E62=""), "", E62*IFERROR(VLOOKUP(D20,'1_MASTER_RATES'!A$9:E$12,2,FALSE),0)), "")</f>
        <v/>
      </c>
      <c r="I62" s="8" t="str">
        <f>IFERROR(IF(OR(C20="", F62=""), "", F62*IFERROR(VLOOKUP(D20,'1_MASTER_RATES'!A$9:E$12,2,FALSE),0)), "")</f>
        <v/>
      </c>
      <c r="J62" s="8" t="str">
        <f t="shared" si="4"/>
        <v/>
      </c>
      <c r="K62" s="8" t="str">
        <f>IFERROR(IF(OR(C20="", E62=""), "", E62*IFERROR(VLOOKUP(D20,'1_MASTER_RATES'!A$9:E$12,3,FALSE),0)), "")</f>
        <v/>
      </c>
      <c r="L62" s="8" t="str">
        <f>IFERROR(IF(OR(C20="", F62=""), "", F62*IFERROR(VLOOKUP(D20,'1_MASTER_RATES'!A$9:E$12,3,FALSE),0)), "")</f>
        <v/>
      </c>
      <c r="M62" s="8" t="str">
        <f t="shared" si="5"/>
        <v/>
      </c>
      <c r="N62" s="8" t="str">
        <f t="shared" si="6"/>
        <v/>
      </c>
      <c r="O62" s="8" t="str">
        <f t="shared" si="7"/>
        <v/>
      </c>
      <c r="P62" s="8" t="str">
        <f t="shared" si="8"/>
        <v/>
      </c>
    </row>
    <row r="63" spans="1:16" x14ac:dyDescent="0.25">
      <c r="A63" s="7" t="str">
        <f t="shared" si="0"/>
        <v/>
      </c>
      <c r="B63" s="7" t="str">
        <f t="shared" si="0"/>
        <v/>
      </c>
      <c r="C63" s="7" t="str">
        <f t="shared" si="0"/>
        <v/>
      </c>
      <c r="D63" s="7" t="str">
        <f t="shared" si="0"/>
        <v/>
      </c>
      <c r="E63" s="13" t="str">
        <f t="shared" si="1"/>
        <v/>
      </c>
      <c r="F63" s="13" t="str">
        <f t="shared" si="2"/>
        <v/>
      </c>
      <c r="G63" s="13" t="str">
        <f t="shared" si="3"/>
        <v/>
      </c>
      <c r="H63" s="8" t="str">
        <f>IFERROR(IF(OR(C21="", E63=""), "", E63*IFERROR(VLOOKUP(D21,'1_MASTER_RATES'!A$9:E$12,2,FALSE),0)), "")</f>
        <v/>
      </c>
      <c r="I63" s="8" t="str">
        <f>IFERROR(IF(OR(C21="", F63=""), "", F63*IFERROR(VLOOKUP(D21,'1_MASTER_RATES'!A$9:E$12,2,FALSE),0)), "")</f>
        <v/>
      </c>
      <c r="J63" s="8" t="str">
        <f t="shared" si="4"/>
        <v/>
      </c>
      <c r="K63" s="8" t="str">
        <f>IFERROR(IF(OR(C21="", E63=""), "", E63*IFERROR(VLOOKUP(D21,'1_MASTER_RATES'!A$9:E$12,3,FALSE),0)), "")</f>
        <v/>
      </c>
      <c r="L63" s="8" t="str">
        <f>IFERROR(IF(OR(C21="", F63=""), "", F63*IFERROR(VLOOKUP(D21,'1_MASTER_RATES'!A$9:E$12,3,FALSE),0)), "")</f>
        <v/>
      </c>
      <c r="M63" s="8" t="str">
        <f t="shared" si="5"/>
        <v/>
      </c>
      <c r="N63" s="8" t="str">
        <f t="shared" si="6"/>
        <v/>
      </c>
      <c r="O63" s="8" t="str">
        <f t="shared" si="7"/>
        <v/>
      </c>
      <c r="P63" s="8" t="str">
        <f t="shared" si="8"/>
        <v/>
      </c>
    </row>
    <row r="64" spans="1:16" x14ac:dyDescent="0.25">
      <c r="A64" s="7" t="str">
        <f t="shared" si="0"/>
        <v/>
      </c>
      <c r="B64" s="7" t="str">
        <f t="shared" si="0"/>
        <v/>
      </c>
      <c r="C64" s="7" t="str">
        <f t="shared" si="0"/>
        <v/>
      </c>
      <c r="D64" s="7" t="str">
        <f t="shared" si="0"/>
        <v/>
      </c>
      <c r="E64" s="13" t="str">
        <f t="shared" si="1"/>
        <v/>
      </c>
      <c r="F64" s="13" t="str">
        <f t="shared" si="2"/>
        <v/>
      </c>
      <c r="G64" s="13" t="str">
        <f t="shared" si="3"/>
        <v/>
      </c>
      <c r="H64" s="8" t="str">
        <f>IFERROR(IF(OR(C22="", E64=""), "", E64*IFERROR(VLOOKUP(D22,'1_MASTER_RATES'!A$9:E$12,2,FALSE),0)), "")</f>
        <v/>
      </c>
      <c r="I64" s="8" t="str">
        <f>IFERROR(IF(OR(C22="", F64=""), "", F64*IFERROR(VLOOKUP(D22,'1_MASTER_RATES'!A$9:E$12,2,FALSE),0)), "")</f>
        <v/>
      </c>
      <c r="J64" s="8" t="str">
        <f t="shared" si="4"/>
        <v/>
      </c>
      <c r="K64" s="8" t="str">
        <f>IFERROR(IF(OR(C22="", E64=""), "", E64*IFERROR(VLOOKUP(D22,'1_MASTER_RATES'!A$9:E$12,3,FALSE),0)), "")</f>
        <v/>
      </c>
      <c r="L64" s="8" t="str">
        <f>IFERROR(IF(OR(C22="", F64=""), "", F64*IFERROR(VLOOKUP(D22,'1_MASTER_RATES'!A$9:E$12,3,FALSE),0)), "")</f>
        <v/>
      </c>
      <c r="M64" s="8" t="str">
        <f t="shared" si="5"/>
        <v/>
      </c>
      <c r="N64" s="8" t="str">
        <f t="shared" si="6"/>
        <v/>
      </c>
      <c r="O64" s="8" t="str">
        <f t="shared" si="7"/>
        <v/>
      </c>
      <c r="P64" s="8" t="str">
        <f t="shared" si="8"/>
        <v/>
      </c>
    </row>
    <row r="65" spans="1:16" x14ac:dyDescent="0.25">
      <c r="A65" s="7" t="str">
        <f t="shared" si="0"/>
        <v/>
      </c>
      <c r="B65" s="7" t="str">
        <f t="shared" si="0"/>
        <v/>
      </c>
      <c r="C65" s="7" t="str">
        <f t="shared" si="0"/>
        <v/>
      </c>
      <c r="D65" s="7" t="str">
        <f t="shared" si="0"/>
        <v/>
      </c>
      <c r="E65" s="13" t="str">
        <f t="shared" si="1"/>
        <v/>
      </c>
      <c r="F65" s="13" t="str">
        <f t="shared" si="2"/>
        <v/>
      </c>
      <c r="G65" s="13" t="str">
        <f t="shared" si="3"/>
        <v/>
      </c>
      <c r="H65" s="8" t="str">
        <f>IFERROR(IF(OR(C23="", E65=""), "", E65*IFERROR(VLOOKUP(D23,'1_MASTER_RATES'!A$9:E$12,2,FALSE),0)), "")</f>
        <v/>
      </c>
      <c r="I65" s="8" t="str">
        <f>IFERROR(IF(OR(C23="", F65=""), "", F65*IFERROR(VLOOKUP(D23,'1_MASTER_RATES'!A$9:E$12,2,FALSE),0)), "")</f>
        <v/>
      </c>
      <c r="J65" s="8" t="str">
        <f t="shared" si="4"/>
        <v/>
      </c>
      <c r="K65" s="8" t="str">
        <f>IFERROR(IF(OR(C23="", E65=""), "", E65*IFERROR(VLOOKUP(D23,'1_MASTER_RATES'!A$9:E$12,3,FALSE),0)), "")</f>
        <v/>
      </c>
      <c r="L65" s="8" t="str">
        <f>IFERROR(IF(OR(C23="", F65=""), "", F65*IFERROR(VLOOKUP(D23,'1_MASTER_RATES'!A$9:E$12,3,FALSE),0)), "")</f>
        <v/>
      </c>
      <c r="M65" s="8" t="str">
        <f t="shared" si="5"/>
        <v/>
      </c>
      <c r="N65" s="8" t="str">
        <f t="shared" si="6"/>
        <v/>
      </c>
      <c r="O65" s="8" t="str">
        <f t="shared" si="7"/>
        <v/>
      </c>
      <c r="P65" s="8" t="str">
        <f t="shared" si="8"/>
        <v/>
      </c>
    </row>
    <row r="66" spans="1:16" x14ac:dyDescent="0.25">
      <c r="A66" s="7" t="str">
        <f t="shared" si="0"/>
        <v/>
      </c>
      <c r="B66" s="7" t="str">
        <f t="shared" si="0"/>
        <v/>
      </c>
      <c r="C66" s="7" t="str">
        <f t="shared" si="0"/>
        <v/>
      </c>
      <c r="D66" s="7" t="str">
        <f t="shared" si="0"/>
        <v/>
      </c>
      <c r="E66" s="13" t="str">
        <f t="shared" si="1"/>
        <v/>
      </c>
      <c r="F66" s="13" t="str">
        <f t="shared" si="2"/>
        <v/>
      </c>
      <c r="G66" s="13" t="str">
        <f t="shared" si="3"/>
        <v/>
      </c>
      <c r="H66" s="8" t="str">
        <f>IFERROR(IF(OR(C24="", E66=""), "", E66*IFERROR(VLOOKUP(D24,'1_MASTER_RATES'!A$9:E$12,2,FALSE),0)), "")</f>
        <v/>
      </c>
      <c r="I66" s="8" t="str">
        <f>IFERROR(IF(OR(C24="", F66=""), "", F66*IFERROR(VLOOKUP(D24,'1_MASTER_RATES'!A$9:E$12,2,FALSE),0)), "")</f>
        <v/>
      </c>
      <c r="J66" s="8" t="str">
        <f t="shared" si="4"/>
        <v/>
      </c>
      <c r="K66" s="8" t="str">
        <f>IFERROR(IF(OR(C24="", E66=""), "", E66*IFERROR(VLOOKUP(D24,'1_MASTER_RATES'!A$9:E$12,3,FALSE),0)), "")</f>
        <v/>
      </c>
      <c r="L66" s="8" t="str">
        <f>IFERROR(IF(OR(C24="", F66=""), "", F66*IFERROR(VLOOKUP(D24,'1_MASTER_RATES'!A$9:E$12,3,FALSE),0)), "")</f>
        <v/>
      </c>
      <c r="M66" s="8" t="str">
        <f t="shared" si="5"/>
        <v/>
      </c>
      <c r="N66" s="8" t="str">
        <f t="shared" si="6"/>
        <v/>
      </c>
      <c r="O66" s="8" t="str">
        <f t="shared" si="7"/>
        <v/>
      </c>
      <c r="P66" s="8" t="str">
        <f t="shared" si="8"/>
        <v/>
      </c>
    </row>
    <row r="67" spans="1:16" x14ac:dyDescent="0.25">
      <c r="A67" s="7" t="str">
        <f t="shared" ref="A67:D86" si="9">IFERROR(IF(A25="","",A25),"")</f>
        <v/>
      </c>
      <c r="B67" s="7" t="str">
        <f t="shared" si="9"/>
        <v/>
      </c>
      <c r="C67" s="7" t="str">
        <f t="shared" si="9"/>
        <v/>
      </c>
      <c r="D67" s="7" t="str">
        <f t="shared" si="9"/>
        <v/>
      </c>
      <c r="E67" s="13" t="str">
        <f t="shared" si="1"/>
        <v/>
      </c>
      <c r="F67" s="13" t="str">
        <f t="shared" si="2"/>
        <v/>
      </c>
      <c r="G67" s="13" t="str">
        <f t="shared" si="3"/>
        <v/>
      </c>
      <c r="H67" s="8" t="str">
        <f>IFERROR(IF(OR(C25="", E67=""), "", E67*IFERROR(VLOOKUP(D25,'1_MASTER_RATES'!A$9:E$12,2,FALSE),0)), "")</f>
        <v/>
      </c>
      <c r="I67" s="8" t="str">
        <f>IFERROR(IF(OR(C25="", F67=""), "", F67*IFERROR(VLOOKUP(D25,'1_MASTER_RATES'!A$9:E$12,2,FALSE),0)), "")</f>
        <v/>
      </c>
      <c r="J67" s="8" t="str">
        <f t="shared" si="4"/>
        <v/>
      </c>
      <c r="K67" s="8" t="str">
        <f>IFERROR(IF(OR(C25="", E67=""), "", E67*IFERROR(VLOOKUP(D25,'1_MASTER_RATES'!A$9:E$12,3,FALSE),0)), "")</f>
        <v/>
      </c>
      <c r="L67" s="8" t="str">
        <f>IFERROR(IF(OR(C25="", F67=""), "", F67*IFERROR(VLOOKUP(D25,'1_MASTER_RATES'!A$9:E$12,3,FALSE),0)), "")</f>
        <v/>
      </c>
      <c r="M67" s="8" t="str">
        <f t="shared" si="5"/>
        <v/>
      </c>
      <c r="N67" s="8" t="str">
        <f t="shared" si="6"/>
        <v/>
      </c>
      <c r="O67" s="8" t="str">
        <f t="shared" si="7"/>
        <v/>
      </c>
      <c r="P67" s="8" t="str">
        <f t="shared" si="8"/>
        <v/>
      </c>
    </row>
    <row r="68" spans="1:16" x14ac:dyDescent="0.25">
      <c r="A68" s="7" t="str">
        <f t="shared" si="9"/>
        <v/>
      </c>
      <c r="B68" s="7" t="str">
        <f t="shared" si="9"/>
        <v/>
      </c>
      <c r="C68" s="7" t="str">
        <f t="shared" si="9"/>
        <v/>
      </c>
      <c r="D68" s="7" t="str">
        <f t="shared" si="9"/>
        <v/>
      </c>
      <c r="E68" s="13" t="str">
        <f t="shared" si="1"/>
        <v/>
      </c>
      <c r="F68" s="13" t="str">
        <f t="shared" si="2"/>
        <v/>
      </c>
      <c r="G68" s="13" t="str">
        <f t="shared" si="3"/>
        <v/>
      </c>
      <c r="H68" s="8" t="str">
        <f>IFERROR(IF(OR(C26="", E68=""), "", E68*IFERROR(VLOOKUP(D26,'1_MASTER_RATES'!A$9:E$12,2,FALSE),0)), "")</f>
        <v/>
      </c>
      <c r="I68" s="8" t="str">
        <f>IFERROR(IF(OR(C26="", F68=""), "", F68*IFERROR(VLOOKUP(D26,'1_MASTER_RATES'!A$9:E$12,2,FALSE),0)), "")</f>
        <v/>
      </c>
      <c r="J68" s="8" t="str">
        <f t="shared" si="4"/>
        <v/>
      </c>
      <c r="K68" s="8" t="str">
        <f>IFERROR(IF(OR(C26="", E68=""), "", E68*IFERROR(VLOOKUP(D26,'1_MASTER_RATES'!A$9:E$12,3,FALSE),0)), "")</f>
        <v/>
      </c>
      <c r="L68" s="8" t="str">
        <f>IFERROR(IF(OR(C26="", F68=""), "", F68*IFERROR(VLOOKUP(D26,'1_MASTER_RATES'!A$9:E$12,3,FALSE),0)), "")</f>
        <v/>
      </c>
      <c r="M68" s="8" t="str">
        <f t="shared" si="5"/>
        <v/>
      </c>
      <c r="N68" s="8" t="str">
        <f t="shared" si="6"/>
        <v/>
      </c>
      <c r="O68" s="8" t="str">
        <f t="shared" si="7"/>
        <v/>
      </c>
      <c r="P68" s="8" t="str">
        <f t="shared" si="8"/>
        <v/>
      </c>
    </row>
    <row r="69" spans="1:16" x14ac:dyDescent="0.25">
      <c r="A69" s="7" t="str">
        <f t="shared" si="9"/>
        <v/>
      </c>
      <c r="B69" s="7" t="str">
        <f t="shared" si="9"/>
        <v/>
      </c>
      <c r="C69" s="7" t="str">
        <f t="shared" si="9"/>
        <v/>
      </c>
      <c r="D69" s="7" t="str">
        <f t="shared" si="9"/>
        <v/>
      </c>
      <c r="E69" s="13" t="str">
        <f t="shared" si="1"/>
        <v/>
      </c>
      <c r="F69" s="13" t="str">
        <f t="shared" si="2"/>
        <v/>
      </c>
      <c r="G69" s="13" t="str">
        <f t="shared" si="3"/>
        <v/>
      </c>
      <c r="H69" s="8" t="str">
        <f>IFERROR(IF(OR(C27="", E69=""), "", E69*IFERROR(VLOOKUP(D27,'1_MASTER_RATES'!A$9:E$12,2,FALSE),0)), "")</f>
        <v/>
      </c>
      <c r="I69" s="8" t="str">
        <f>IFERROR(IF(OR(C27="", F69=""), "", F69*IFERROR(VLOOKUP(D27,'1_MASTER_RATES'!A$9:E$12,2,FALSE),0)), "")</f>
        <v/>
      </c>
      <c r="J69" s="8" t="str">
        <f t="shared" si="4"/>
        <v/>
      </c>
      <c r="K69" s="8" t="str">
        <f>IFERROR(IF(OR(C27="", E69=""), "", E69*IFERROR(VLOOKUP(D27,'1_MASTER_RATES'!A$9:E$12,3,FALSE),0)), "")</f>
        <v/>
      </c>
      <c r="L69" s="8" t="str">
        <f>IFERROR(IF(OR(C27="", F69=""), "", F69*IFERROR(VLOOKUP(D27,'1_MASTER_RATES'!A$9:E$12,3,FALSE),0)), "")</f>
        <v/>
      </c>
      <c r="M69" s="8" t="str">
        <f t="shared" si="5"/>
        <v/>
      </c>
      <c r="N69" s="8" t="str">
        <f t="shared" si="6"/>
        <v/>
      </c>
      <c r="O69" s="8" t="str">
        <f t="shared" si="7"/>
        <v/>
      </c>
      <c r="P69" s="8" t="str">
        <f t="shared" si="8"/>
        <v/>
      </c>
    </row>
    <row r="70" spans="1:16" x14ac:dyDescent="0.25">
      <c r="A70" s="7" t="str">
        <f t="shared" si="9"/>
        <v/>
      </c>
      <c r="B70" s="7" t="str">
        <f t="shared" si="9"/>
        <v/>
      </c>
      <c r="C70" s="7" t="str">
        <f t="shared" si="9"/>
        <v/>
      </c>
      <c r="D70" s="7" t="str">
        <f t="shared" si="9"/>
        <v/>
      </c>
      <c r="E70" s="13" t="str">
        <f t="shared" si="1"/>
        <v/>
      </c>
      <c r="F70" s="13" t="str">
        <f t="shared" si="2"/>
        <v/>
      </c>
      <c r="G70" s="13" t="str">
        <f t="shared" si="3"/>
        <v/>
      </c>
      <c r="H70" s="8" t="str">
        <f>IFERROR(IF(OR(C28="", E70=""), "", E70*IFERROR(VLOOKUP(D28,'1_MASTER_RATES'!A$9:E$12,2,FALSE),0)), "")</f>
        <v/>
      </c>
      <c r="I70" s="8" t="str">
        <f>IFERROR(IF(OR(C28="", F70=""), "", F70*IFERROR(VLOOKUP(D28,'1_MASTER_RATES'!A$9:E$12,2,FALSE),0)), "")</f>
        <v/>
      </c>
      <c r="J70" s="8" t="str">
        <f t="shared" si="4"/>
        <v/>
      </c>
      <c r="K70" s="8" t="str">
        <f>IFERROR(IF(OR(C28="", E70=""), "", E70*IFERROR(VLOOKUP(D28,'1_MASTER_RATES'!A$9:E$12,3,FALSE),0)), "")</f>
        <v/>
      </c>
      <c r="L70" s="8" t="str">
        <f>IFERROR(IF(OR(C28="", F70=""), "", F70*IFERROR(VLOOKUP(D28,'1_MASTER_RATES'!A$9:E$12,3,FALSE),0)), "")</f>
        <v/>
      </c>
      <c r="M70" s="8" t="str">
        <f t="shared" si="5"/>
        <v/>
      </c>
      <c r="N70" s="8" t="str">
        <f t="shared" si="6"/>
        <v/>
      </c>
      <c r="O70" s="8" t="str">
        <f t="shared" si="7"/>
        <v/>
      </c>
      <c r="P70" s="8" t="str">
        <f t="shared" si="8"/>
        <v/>
      </c>
    </row>
    <row r="71" spans="1:16" x14ac:dyDescent="0.25">
      <c r="A71" s="7" t="str">
        <f t="shared" si="9"/>
        <v/>
      </c>
      <c r="B71" s="7" t="str">
        <f t="shared" si="9"/>
        <v/>
      </c>
      <c r="C71" s="7" t="str">
        <f t="shared" si="9"/>
        <v/>
      </c>
      <c r="D71" s="7" t="str">
        <f t="shared" si="9"/>
        <v/>
      </c>
      <c r="E71" s="13" t="str">
        <f t="shared" si="1"/>
        <v/>
      </c>
      <c r="F71" s="13" t="str">
        <f t="shared" si="2"/>
        <v/>
      </c>
      <c r="G71" s="13" t="str">
        <f t="shared" si="3"/>
        <v/>
      </c>
      <c r="H71" s="8" t="str">
        <f>IFERROR(IF(OR(C29="", E71=""), "", E71*IFERROR(VLOOKUP(D29,'1_MASTER_RATES'!A$9:E$12,2,FALSE),0)), "")</f>
        <v/>
      </c>
      <c r="I71" s="8" t="str">
        <f>IFERROR(IF(OR(C29="", F71=""), "", F71*IFERROR(VLOOKUP(D29,'1_MASTER_RATES'!A$9:E$12,2,FALSE),0)), "")</f>
        <v/>
      </c>
      <c r="J71" s="8" t="str">
        <f t="shared" si="4"/>
        <v/>
      </c>
      <c r="K71" s="8" t="str">
        <f>IFERROR(IF(OR(C29="", E71=""), "", E71*IFERROR(VLOOKUP(D29,'1_MASTER_RATES'!A$9:E$12,3,FALSE),0)), "")</f>
        <v/>
      </c>
      <c r="L71" s="8" t="str">
        <f>IFERROR(IF(OR(C29="", F71=""), "", F71*IFERROR(VLOOKUP(D29,'1_MASTER_RATES'!A$9:E$12,3,FALSE),0)), "")</f>
        <v/>
      </c>
      <c r="M71" s="8" t="str">
        <f t="shared" si="5"/>
        <v/>
      </c>
      <c r="N71" s="8" t="str">
        <f t="shared" si="6"/>
        <v/>
      </c>
      <c r="O71" s="8" t="str">
        <f t="shared" si="7"/>
        <v/>
      </c>
      <c r="P71" s="8" t="str">
        <f t="shared" si="8"/>
        <v/>
      </c>
    </row>
    <row r="72" spans="1:16" x14ac:dyDescent="0.25">
      <c r="A72" s="7" t="str">
        <f t="shared" si="9"/>
        <v/>
      </c>
      <c r="B72" s="7" t="str">
        <f t="shared" si="9"/>
        <v/>
      </c>
      <c r="C72" s="7" t="str">
        <f t="shared" si="9"/>
        <v/>
      </c>
      <c r="D72" s="7" t="str">
        <f t="shared" si="9"/>
        <v/>
      </c>
      <c r="E72" s="13" t="str">
        <f t="shared" si="1"/>
        <v/>
      </c>
      <c r="F72" s="13" t="str">
        <f t="shared" si="2"/>
        <v/>
      </c>
      <c r="G72" s="13" t="str">
        <f t="shared" si="3"/>
        <v/>
      </c>
      <c r="H72" s="8" t="str">
        <f>IFERROR(IF(OR(C30="", E72=""), "", E72*IFERROR(VLOOKUP(D30,'1_MASTER_RATES'!A$9:E$12,2,FALSE),0)), "")</f>
        <v/>
      </c>
      <c r="I72" s="8" t="str">
        <f>IFERROR(IF(OR(C30="", F72=""), "", F72*IFERROR(VLOOKUP(D30,'1_MASTER_RATES'!A$9:E$12,2,FALSE),0)), "")</f>
        <v/>
      </c>
      <c r="J72" s="8" t="str">
        <f t="shared" si="4"/>
        <v/>
      </c>
      <c r="K72" s="8" t="str">
        <f>IFERROR(IF(OR(C30="", E72=""), "", E72*IFERROR(VLOOKUP(D30,'1_MASTER_RATES'!A$9:E$12,3,FALSE),0)), "")</f>
        <v/>
      </c>
      <c r="L72" s="8" t="str">
        <f>IFERROR(IF(OR(C30="", F72=""), "", F72*IFERROR(VLOOKUP(D30,'1_MASTER_RATES'!A$9:E$12,3,FALSE),0)), "")</f>
        <v/>
      </c>
      <c r="M72" s="8" t="str">
        <f t="shared" si="5"/>
        <v/>
      </c>
      <c r="N72" s="8" t="str">
        <f t="shared" si="6"/>
        <v/>
      </c>
      <c r="O72" s="8" t="str">
        <f t="shared" si="7"/>
        <v/>
      </c>
      <c r="P72" s="8" t="str">
        <f t="shared" si="8"/>
        <v/>
      </c>
    </row>
    <row r="73" spans="1:16" x14ac:dyDescent="0.25">
      <c r="A73" s="7" t="str">
        <f t="shared" si="9"/>
        <v/>
      </c>
      <c r="B73" s="7" t="str">
        <f t="shared" si="9"/>
        <v/>
      </c>
      <c r="C73" s="7" t="str">
        <f t="shared" si="9"/>
        <v/>
      </c>
      <c r="D73" s="7" t="str">
        <f t="shared" si="9"/>
        <v/>
      </c>
      <c r="E73" s="13" t="str">
        <f t="shared" si="1"/>
        <v/>
      </c>
      <c r="F73" s="13" t="str">
        <f t="shared" si="2"/>
        <v/>
      </c>
      <c r="G73" s="13" t="str">
        <f t="shared" si="3"/>
        <v/>
      </c>
      <c r="H73" s="8" t="str">
        <f>IFERROR(IF(OR(C31="", E73=""), "", E73*IFERROR(VLOOKUP(D31,'1_MASTER_RATES'!A$9:E$12,2,FALSE),0)), "")</f>
        <v/>
      </c>
      <c r="I73" s="8" t="str">
        <f>IFERROR(IF(OR(C31="", F73=""), "", F73*IFERROR(VLOOKUP(D31,'1_MASTER_RATES'!A$9:E$12,2,FALSE),0)), "")</f>
        <v/>
      </c>
      <c r="J73" s="8" t="str">
        <f t="shared" si="4"/>
        <v/>
      </c>
      <c r="K73" s="8" t="str">
        <f>IFERROR(IF(OR(C31="", E73=""), "", E73*IFERROR(VLOOKUP(D31,'1_MASTER_RATES'!A$9:E$12,3,FALSE),0)), "")</f>
        <v/>
      </c>
      <c r="L73" s="8" t="str">
        <f>IFERROR(IF(OR(C31="", F73=""), "", F73*IFERROR(VLOOKUP(D31,'1_MASTER_RATES'!A$9:E$12,3,FALSE),0)), "")</f>
        <v/>
      </c>
      <c r="M73" s="8" t="str">
        <f t="shared" si="5"/>
        <v/>
      </c>
      <c r="N73" s="8" t="str">
        <f t="shared" si="6"/>
        <v/>
      </c>
      <c r="O73" s="8" t="str">
        <f t="shared" si="7"/>
        <v/>
      </c>
      <c r="P73" s="8" t="str">
        <f t="shared" si="8"/>
        <v/>
      </c>
    </row>
    <row r="74" spans="1:16" x14ac:dyDescent="0.25">
      <c r="A74" s="7" t="str">
        <f t="shared" si="9"/>
        <v/>
      </c>
      <c r="B74" s="7" t="str">
        <f t="shared" si="9"/>
        <v/>
      </c>
      <c r="C74" s="7" t="str">
        <f t="shared" si="9"/>
        <v/>
      </c>
      <c r="D74" s="7" t="str">
        <f t="shared" si="9"/>
        <v/>
      </c>
      <c r="E74" s="13" t="str">
        <f t="shared" si="1"/>
        <v/>
      </c>
      <c r="F74" s="13" t="str">
        <f t="shared" si="2"/>
        <v/>
      </c>
      <c r="G74" s="13" t="str">
        <f t="shared" si="3"/>
        <v/>
      </c>
      <c r="H74" s="8" t="str">
        <f>IFERROR(IF(OR(C32="", E74=""), "", E74*IFERROR(VLOOKUP(D32,'1_MASTER_RATES'!A$9:E$12,2,FALSE),0)), "")</f>
        <v/>
      </c>
      <c r="I74" s="8" t="str">
        <f>IFERROR(IF(OR(C32="", F74=""), "", F74*IFERROR(VLOOKUP(D32,'1_MASTER_RATES'!A$9:E$12,2,FALSE),0)), "")</f>
        <v/>
      </c>
      <c r="J74" s="8" t="str">
        <f t="shared" si="4"/>
        <v/>
      </c>
      <c r="K74" s="8" t="str">
        <f>IFERROR(IF(OR(C32="", E74=""), "", E74*IFERROR(VLOOKUP(D32,'1_MASTER_RATES'!A$9:E$12,3,FALSE),0)), "")</f>
        <v/>
      </c>
      <c r="L74" s="8" t="str">
        <f>IFERROR(IF(OR(C32="", F74=""), "", F74*IFERROR(VLOOKUP(D32,'1_MASTER_RATES'!A$9:E$12,3,FALSE),0)), "")</f>
        <v/>
      </c>
      <c r="M74" s="8" t="str">
        <f t="shared" si="5"/>
        <v/>
      </c>
      <c r="N74" s="8" t="str">
        <f t="shared" si="6"/>
        <v/>
      </c>
      <c r="O74" s="8" t="str">
        <f t="shared" si="7"/>
        <v/>
      </c>
      <c r="P74" s="8" t="str">
        <f t="shared" si="8"/>
        <v/>
      </c>
    </row>
    <row r="75" spans="1:16" x14ac:dyDescent="0.25">
      <c r="A75" s="7" t="str">
        <f t="shared" si="9"/>
        <v/>
      </c>
      <c r="B75" s="7" t="str">
        <f t="shared" si="9"/>
        <v/>
      </c>
      <c r="C75" s="7" t="str">
        <f t="shared" si="9"/>
        <v/>
      </c>
      <c r="D75" s="7" t="str">
        <f t="shared" si="9"/>
        <v/>
      </c>
      <c r="E75" s="13" t="str">
        <f t="shared" si="1"/>
        <v/>
      </c>
      <c r="F75" s="13" t="str">
        <f t="shared" si="2"/>
        <v/>
      </c>
      <c r="G75" s="13" t="str">
        <f t="shared" si="3"/>
        <v/>
      </c>
      <c r="H75" s="8" t="str">
        <f>IFERROR(IF(OR(C33="", E75=""), "", E75*IFERROR(VLOOKUP(D33,'1_MASTER_RATES'!A$9:E$12,2,FALSE),0)), "")</f>
        <v/>
      </c>
      <c r="I75" s="8" t="str">
        <f>IFERROR(IF(OR(C33="", F75=""), "", F75*IFERROR(VLOOKUP(D33,'1_MASTER_RATES'!A$9:E$12,2,FALSE),0)), "")</f>
        <v/>
      </c>
      <c r="J75" s="8" t="str">
        <f t="shared" si="4"/>
        <v/>
      </c>
      <c r="K75" s="8" t="str">
        <f>IFERROR(IF(OR(C33="", E75=""), "", E75*IFERROR(VLOOKUP(D33,'1_MASTER_RATES'!A$9:E$12,3,FALSE),0)), "")</f>
        <v/>
      </c>
      <c r="L75" s="8" t="str">
        <f>IFERROR(IF(OR(C33="", F75=""), "", F75*IFERROR(VLOOKUP(D33,'1_MASTER_RATES'!A$9:E$12,3,FALSE),0)), "")</f>
        <v/>
      </c>
      <c r="M75" s="8" t="str">
        <f t="shared" si="5"/>
        <v/>
      </c>
      <c r="N75" s="8" t="str">
        <f t="shared" si="6"/>
        <v/>
      </c>
      <c r="O75" s="8" t="str">
        <f t="shared" si="7"/>
        <v/>
      </c>
      <c r="P75" s="8" t="str">
        <f t="shared" si="8"/>
        <v/>
      </c>
    </row>
    <row r="76" spans="1:16" x14ac:dyDescent="0.25">
      <c r="A76" s="7" t="str">
        <f t="shared" si="9"/>
        <v/>
      </c>
      <c r="B76" s="7" t="str">
        <f t="shared" si="9"/>
        <v/>
      </c>
      <c r="C76" s="7" t="str">
        <f t="shared" si="9"/>
        <v/>
      </c>
      <c r="D76" s="7" t="str">
        <f t="shared" si="9"/>
        <v/>
      </c>
      <c r="E76" s="13" t="str">
        <f t="shared" si="1"/>
        <v/>
      </c>
      <c r="F76" s="13" t="str">
        <f t="shared" si="2"/>
        <v/>
      </c>
      <c r="G76" s="13" t="str">
        <f t="shared" si="3"/>
        <v/>
      </c>
      <c r="H76" s="8" t="str">
        <f>IFERROR(IF(OR(C34="", E76=""), "", E76*IFERROR(VLOOKUP(D34,'1_MASTER_RATES'!A$9:E$12,2,FALSE),0)), "")</f>
        <v/>
      </c>
      <c r="I76" s="8" t="str">
        <f>IFERROR(IF(OR(C34="", F76=""), "", F76*IFERROR(VLOOKUP(D34,'1_MASTER_RATES'!A$9:E$12,2,FALSE),0)), "")</f>
        <v/>
      </c>
      <c r="J76" s="8" t="str">
        <f t="shared" si="4"/>
        <v/>
      </c>
      <c r="K76" s="8" t="str">
        <f>IFERROR(IF(OR(C34="", E76=""), "", E76*IFERROR(VLOOKUP(D34,'1_MASTER_RATES'!A$9:E$12,3,FALSE),0)), "")</f>
        <v/>
      </c>
      <c r="L76" s="8" t="str">
        <f>IFERROR(IF(OR(C34="", F76=""), "", F76*IFERROR(VLOOKUP(D34,'1_MASTER_RATES'!A$9:E$12,3,FALSE),0)), "")</f>
        <v/>
      </c>
      <c r="M76" s="8" t="str">
        <f t="shared" si="5"/>
        <v/>
      </c>
      <c r="N76" s="8" t="str">
        <f t="shared" si="6"/>
        <v/>
      </c>
      <c r="O76" s="8" t="str">
        <f t="shared" si="7"/>
        <v/>
      </c>
      <c r="P76" s="8" t="str">
        <f t="shared" si="8"/>
        <v/>
      </c>
    </row>
    <row r="77" spans="1:16" x14ac:dyDescent="0.25">
      <c r="A77" s="7" t="str">
        <f t="shared" si="9"/>
        <v/>
      </c>
      <c r="B77" s="7" t="str">
        <f t="shared" si="9"/>
        <v/>
      </c>
      <c r="C77" s="7" t="str">
        <f t="shared" si="9"/>
        <v/>
      </c>
      <c r="D77" s="7" t="str">
        <f t="shared" si="9"/>
        <v/>
      </c>
      <c r="E77" s="13" t="str">
        <f t="shared" si="1"/>
        <v/>
      </c>
      <c r="F77" s="13" t="str">
        <f t="shared" si="2"/>
        <v/>
      </c>
      <c r="G77" s="13" t="str">
        <f t="shared" si="3"/>
        <v/>
      </c>
      <c r="H77" s="8" t="str">
        <f>IFERROR(IF(OR(C35="", E77=""), "", E77*IFERROR(VLOOKUP(D35,'1_MASTER_RATES'!A$9:E$12,2,FALSE),0)), "")</f>
        <v/>
      </c>
      <c r="I77" s="8" t="str">
        <f>IFERROR(IF(OR(C35="", F77=""), "", F77*IFERROR(VLOOKUP(D35,'1_MASTER_RATES'!A$9:E$12,2,FALSE),0)), "")</f>
        <v/>
      </c>
      <c r="J77" s="8" t="str">
        <f t="shared" si="4"/>
        <v/>
      </c>
      <c r="K77" s="8" t="str">
        <f>IFERROR(IF(OR(C35="", E77=""), "", E77*IFERROR(VLOOKUP(D35,'1_MASTER_RATES'!A$9:E$12,3,FALSE),0)), "")</f>
        <v/>
      </c>
      <c r="L77" s="8" t="str">
        <f>IFERROR(IF(OR(C35="", F77=""), "", F77*IFERROR(VLOOKUP(D35,'1_MASTER_RATES'!A$9:E$12,3,FALSE),0)), "")</f>
        <v/>
      </c>
      <c r="M77" s="8" t="str">
        <f t="shared" si="5"/>
        <v/>
      </c>
      <c r="N77" s="8" t="str">
        <f t="shared" si="6"/>
        <v/>
      </c>
      <c r="O77" s="8" t="str">
        <f t="shared" si="7"/>
        <v/>
      </c>
      <c r="P77" s="8" t="str">
        <f t="shared" si="8"/>
        <v/>
      </c>
    </row>
    <row r="78" spans="1:16" x14ac:dyDescent="0.25">
      <c r="A78" s="7" t="str">
        <f t="shared" si="9"/>
        <v/>
      </c>
      <c r="B78" s="7" t="str">
        <f t="shared" si="9"/>
        <v/>
      </c>
      <c r="C78" s="7" t="str">
        <f t="shared" si="9"/>
        <v/>
      </c>
      <c r="D78" s="7" t="str">
        <f t="shared" si="9"/>
        <v/>
      </c>
      <c r="E78" s="13" t="str">
        <f t="shared" si="1"/>
        <v/>
      </c>
      <c r="F78" s="13" t="str">
        <f t="shared" si="2"/>
        <v/>
      </c>
      <c r="G78" s="13" t="str">
        <f t="shared" si="3"/>
        <v/>
      </c>
      <c r="H78" s="8" t="str">
        <f>IFERROR(IF(OR(C36="", E78=""), "", E78*IFERROR(VLOOKUP(D36,'1_MASTER_RATES'!A$9:E$12,2,FALSE),0)), "")</f>
        <v/>
      </c>
      <c r="I78" s="8" t="str">
        <f>IFERROR(IF(OR(C36="", F78=""), "", F78*IFERROR(VLOOKUP(D36,'1_MASTER_RATES'!A$9:E$12,2,FALSE),0)), "")</f>
        <v/>
      </c>
      <c r="J78" s="8" t="str">
        <f t="shared" si="4"/>
        <v/>
      </c>
      <c r="K78" s="8" t="str">
        <f>IFERROR(IF(OR(C36="", E78=""), "", E78*IFERROR(VLOOKUP(D36,'1_MASTER_RATES'!A$9:E$12,3,FALSE),0)), "")</f>
        <v/>
      </c>
      <c r="L78" s="8" t="str">
        <f>IFERROR(IF(OR(C36="", F78=""), "", F78*IFERROR(VLOOKUP(D36,'1_MASTER_RATES'!A$9:E$12,3,FALSE),0)), "")</f>
        <v/>
      </c>
      <c r="M78" s="8" t="str">
        <f t="shared" si="5"/>
        <v/>
      </c>
      <c r="N78" s="8" t="str">
        <f t="shared" si="6"/>
        <v/>
      </c>
      <c r="O78" s="8" t="str">
        <f t="shared" si="7"/>
        <v/>
      </c>
      <c r="P78" s="8" t="str">
        <f t="shared" si="8"/>
        <v/>
      </c>
    </row>
    <row r="79" spans="1:16" x14ac:dyDescent="0.25">
      <c r="A79" s="7" t="str">
        <f t="shared" si="9"/>
        <v/>
      </c>
      <c r="B79" s="7" t="str">
        <f t="shared" si="9"/>
        <v/>
      </c>
      <c r="C79" s="7" t="str">
        <f t="shared" si="9"/>
        <v/>
      </c>
      <c r="D79" s="7" t="str">
        <f t="shared" si="9"/>
        <v/>
      </c>
      <c r="E79" s="13" t="str">
        <f t="shared" si="1"/>
        <v/>
      </c>
      <c r="F79" s="13" t="str">
        <f t="shared" si="2"/>
        <v/>
      </c>
      <c r="G79" s="13" t="str">
        <f t="shared" si="3"/>
        <v/>
      </c>
      <c r="H79" s="8" t="str">
        <f>IFERROR(IF(OR(C37="", E79=""), "", E79*IFERROR(VLOOKUP(D37,'1_MASTER_RATES'!A$9:E$12,2,FALSE),0)), "")</f>
        <v/>
      </c>
      <c r="I79" s="8" t="str">
        <f>IFERROR(IF(OR(C37="", F79=""), "", F79*IFERROR(VLOOKUP(D37,'1_MASTER_RATES'!A$9:E$12,2,FALSE),0)), "")</f>
        <v/>
      </c>
      <c r="J79" s="8" t="str">
        <f t="shared" si="4"/>
        <v/>
      </c>
      <c r="K79" s="8" t="str">
        <f>IFERROR(IF(OR(C37="", E79=""), "", E79*IFERROR(VLOOKUP(D37,'1_MASTER_RATES'!A$9:E$12,3,FALSE),0)), "")</f>
        <v/>
      </c>
      <c r="L79" s="8" t="str">
        <f>IFERROR(IF(OR(C37="", F79=""), "", F79*IFERROR(VLOOKUP(D37,'1_MASTER_RATES'!A$9:E$12,3,FALSE),0)), "")</f>
        <v/>
      </c>
      <c r="M79" s="8" t="str">
        <f t="shared" si="5"/>
        <v/>
      </c>
      <c r="N79" s="8" t="str">
        <f t="shared" si="6"/>
        <v/>
      </c>
      <c r="O79" s="8" t="str">
        <f t="shared" si="7"/>
        <v/>
      </c>
      <c r="P79" s="8" t="str">
        <f t="shared" si="8"/>
        <v/>
      </c>
    </row>
    <row r="80" spans="1:16" x14ac:dyDescent="0.25">
      <c r="A80" s="7" t="str">
        <f t="shared" si="9"/>
        <v/>
      </c>
      <c r="B80" s="7" t="str">
        <f t="shared" si="9"/>
        <v/>
      </c>
      <c r="C80" s="7" t="str">
        <f t="shared" si="9"/>
        <v/>
      </c>
      <c r="D80" s="7" t="str">
        <f t="shared" si="9"/>
        <v/>
      </c>
      <c r="E80" s="13" t="str">
        <f t="shared" si="1"/>
        <v/>
      </c>
      <c r="F80" s="13" t="str">
        <f t="shared" si="2"/>
        <v/>
      </c>
      <c r="G80" s="13" t="str">
        <f t="shared" si="3"/>
        <v/>
      </c>
      <c r="H80" s="8" t="str">
        <f>IFERROR(IF(OR(C38="", E80=""), "", E80*IFERROR(VLOOKUP(D38,'1_MASTER_RATES'!A$9:E$12,2,FALSE),0)), "")</f>
        <v/>
      </c>
      <c r="I80" s="8" t="str">
        <f>IFERROR(IF(OR(C38="", F80=""), "", F80*IFERROR(VLOOKUP(D38,'1_MASTER_RATES'!A$9:E$12,2,FALSE),0)), "")</f>
        <v/>
      </c>
      <c r="J80" s="8" t="str">
        <f t="shared" si="4"/>
        <v/>
      </c>
      <c r="K80" s="8" t="str">
        <f>IFERROR(IF(OR(C38="", E80=""), "", E80*IFERROR(VLOOKUP(D38,'1_MASTER_RATES'!A$9:E$12,3,FALSE),0)), "")</f>
        <v/>
      </c>
      <c r="L80" s="8" t="str">
        <f>IFERROR(IF(OR(C38="", F80=""), "", F80*IFERROR(VLOOKUP(D38,'1_MASTER_RATES'!A$9:E$12,3,FALSE),0)), "")</f>
        <v/>
      </c>
      <c r="M80" s="8" t="str">
        <f t="shared" si="5"/>
        <v/>
      </c>
      <c r="N80" s="8" t="str">
        <f t="shared" si="6"/>
        <v/>
      </c>
      <c r="O80" s="8" t="str">
        <f t="shared" si="7"/>
        <v/>
      </c>
      <c r="P80" s="8" t="str">
        <f t="shared" si="8"/>
        <v/>
      </c>
    </row>
    <row r="81" spans="1:16" x14ac:dyDescent="0.25">
      <c r="A81" s="7" t="str">
        <f t="shared" si="9"/>
        <v/>
      </c>
      <c r="B81" s="7" t="str">
        <f t="shared" si="9"/>
        <v/>
      </c>
      <c r="C81" s="7" t="str">
        <f t="shared" si="9"/>
        <v/>
      </c>
      <c r="D81" s="7" t="str">
        <f t="shared" si="9"/>
        <v/>
      </c>
      <c r="E81" s="13" t="str">
        <f t="shared" si="1"/>
        <v/>
      </c>
      <c r="F81" s="13" t="str">
        <f t="shared" si="2"/>
        <v/>
      </c>
      <c r="G81" s="13" t="str">
        <f t="shared" si="3"/>
        <v/>
      </c>
      <c r="H81" s="8" t="str">
        <f>IFERROR(IF(OR(C39="", E81=""), "", E81*IFERROR(VLOOKUP(D39,'1_MASTER_RATES'!A$9:E$12,2,FALSE),0)), "")</f>
        <v/>
      </c>
      <c r="I81" s="8" t="str">
        <f>IFERROR(IF(OR(C39="", F81=""), "", F81*IFERROR(VLOOKUP(D39,'1_MASTER_RATES'!A$9:E$12,2,FALSE),0)), "")</f>
        <v/>
      </c>
      <c r="J81" s="8" t="str">
        <f t="shared" si="4"/>
        <v/>
      </c>
      <c r="K81" s="8" t="str">
        <f>IFERROR(IF(OR(C39="", E81=""), "", E81*IFERROR(VLOOKUP(D39,'1_MASTER_RATES'!A$9:E$12,3,FALSE),0)), "")</f>
        <v/>
      </c>
      <c r="L81" s="8" t="str">
        <f>IFERROR(IF(OR(C39="", F81=""), "", F81*IFERROR(VLOOKUP(D39,'1_MASTER_RATES'!A$9:E$12,3,FALSE),0)), "")</f>
        <v/>
      </c>
      <c r="M81" s="8" t="str">
        <f t="shared" si="5"/>
        <v/>
      </c>
      <c r="N81" s="8" t="str">
        <f t="shared" si="6"/>
        <v/>
      </c>
      <c r="O81" s="8" t="str">
        <f t="shared" si="7"/>
        <v/>
      </c>
      <c r="P81" s="8" t="str">
        <f t="shared" si="8"/>
        <v/>
      </c>
    </row>
    <row r="82" spans="1:16" x14ac:dyDescent="0.25">
      <c r="A82" s="7" t="str">
        <f t="shared" si="9"/>
        <v/>
      </c>
      <c r="B82" s="7" t="str">
        <f t="shared" si="9"/>
        <v/>
      </c>
      <c r="C82" s="7" t="str">
        <f t="shared" si="9"/>
        <v/>
      </c>
      <c r="D82" s="7" t="str">
        <f t="shared" si="9"/>
        <v/>
      </c>
      <c r="E82" s="13" t="str">
        <f t="shared" si="1"/>
        <v/>
      </c>
      <c r="F82" s="13" t="str">
        <f t="shared" si="2"/>
        <v/>
      </c>
      <c r="G82" s="13" t="str">
        <f t="shared" si="3"/>
        <v/>
      </c>
      <c r="H82" s="8" t="str">
        <f>IFERROR(IF(OR(C40="", E82=""), "", E82*IFERROR(VLOOKUP(D40,'1_MASTER_RATES'!A$9:E$12,2,FALSE),0)), "")</f>
        <v/>
      </c>
      <c r="I82" s="8" t="str">
        <f>IFERROR(IF(OR(C40="", F82=""), "", F82*IFERROR(VLOOKUP(D40,'1_MASTER_RATES'!A$9:E$12,2,FALSE),0)), "")</f>
        <v/>
      </c>
      <c r="J82" s="8" t="str">
        <f t="shared" si="4"/>
        <v/>
      </c>
      <c r="K82" s="8" t="str">
        <f>IFERROR(IF(OR(C40="", E82=""), "", E82*IFERROR(VLOOKUP(D40,'1_MASTER_RATES'!A$9:E$12,3,FALSE),0)), "")</f>
        <v/>
      </c>
      <c r="L82" s="8" t="str">
        <f>IFERROR(IF(OR(C40="", F82=""), "", F82*IFERROR(VLOOKUP(D40,'1_MASTER_RATES'!A$9:E$12,3,FALSE),0)), "")</f>
        <v/>
      </c>
      <c r="M82" s="8" t="str">
        <f t="shared" si="5"/>
        <v/>
      </c>
      <c r="N82" s="8" t="str">
        <f t="shared" si="6"/>
        <v/>
      </c>
      <c r="O82" s="8" t="str">
        <f t="shared" si="7"/>
        <v/>
      </c>
      <c r="P82" s="8" t="str">
        <f t="shared" si="8"/>
        <v/>
      </c>
    </row>
    <row r="83" spans="1:16" x14ac:dyDescent="0.25">
      <c r="A83" s="7" t="str">
        <f t="shared" si="9"/>
        <v/>
      </c>
      <c r="B83" s="7" t="str">
        <f t="shared" si="9"/>
        <v/>
      </c>
      <c r="C83" s="7" t="str">
        <f t="shared" si="9"/>
        <v/>
      </c>
      <c r="D83" s="7" t="str">
        <f t="shared" si="9"/>
        <v/>
      </c>
      <c r="E83" s="13" t="str">
        <f t="shared" si="1"/>
        <v/>
      </c>
      <c r="F83" s="13" t="str">
        <f t="shared" si="2"/>
        <v/>
      </c>
      <c r="G83" s="13" t="str">
        <f t="shared" si="3"/>
        <v/>
      </c>
      <c r="H83" s="8" t="str">
        <f>IFERROR(IF(OR(C41="", E83=""), "", E83*IFERROR(VLOOKUP(D41,'1_MASTER_RATES'!A$9:E$12,2,FALSE),0)), "")</f>
        <v/>
      </c>
      <c r="I83" s="8" t="str">
        <f>IFERROR(IF(OR(C41="", F83=""), "", F83*IFERROR(VLOOKUP(D41,'1_MASTER_RATES'!A$9:E$12,2,FALSE),0)), "")</f>
        <v/>
      </c>
      <c r="J83" s="8" t="str">
        <f t="shared" si="4"/>
        <v/>
      </c>
      <c r="K83" s="8" t="str">
        <f>IFERROR(IF(OR(C41="", E83=""), "", E83*IFERROR(VLOOKUP(D41,'1_MASTER_RATES'!A$9:E$12,3,FALSE),0)), "")</f>
        <v/>
      </c>
      <c r="L83" s="8" t="str">
        <f>IFERROR(IF(OR(C41="", F83=""), "", F83*IFERROR(VLOOKUP(D41,'1_MASTER_RATES'!A$9:E$12,3,FALSE),0)), "")</f>
        <v/>
      </c>
      <c r="M83" s="8" t="str">
        <f t="shared" si="5"/>
        <v/>
      </c>
      <c r="N83" s="8" t="str">
        <f t="shared" si="6"/>
        <v/>
      </c>
      <c r="O83" s="8" t="str">
        <f t="shared" si="7"/>
        <v/>
      </c>
      <c r="P83" s="8" t="str">
        <f t="shared" si="8"/>
        <v/>
      </c>
    </row>
    <row r="84" spans="1:16" x14ac:dyDescent="0.25">
      <c r="A84" s="7" t="str">
        <f t="shared" si="9"/>
        <v/>
      </c>
      <c r="B84" s="7" t="str">
        <f t="shared" si="9"/>
        <v/>
      </c>
      <c r="C84" s="7" t="str">
        <f t="shared" si="9"/>
        <v/>
      </c>
      <c r="D84" s="7" t="str">
        <f t="shared" si="9"/>
        <v/>
      </c>
      <c r="E84" s="13" t="str">
        <f t="shared" si="1"/>
        <v/>
      </c>
      <c r="F84" s="13" t="str">
        <f t="shared" si="2"/>
        <v/>
      </c>
      <c r="G84" s="13" t="str">
        <f t="shared" si="3"/>
        <v/>
      </c>
      <c r="H84" s="8" t="str">
        <f>IFERROR(IF(OR(C42="", E84=""), "", E84*IFERROR(VLOOKUP(D42,'1_MASTER_RATES'!A$9:E$12,2,FALSE),0)), "")</f>
        <v/>
      </c>
      <c r="I84" s="8" t="str">
        <f>IFERROR(IF(OR(C42="", F84=""), "", F84*IFERROR(VLOOKUP(D42,'1_MASTER_RATES'!A$9:E$12,2,FALSE),0)), "")</f>
        <v/>
      </c>
      <c r="J84" s="8" t="str">
        <f t="shared" si="4"/>
        <v/>
      </c>
      <c r="K84" s="8" t="str">
        <f>IFERROR(IF(OR(C42="", E84=""), "", E84*IFERROR(VLOOKUP(D42,'1_MASTER_RATES'!A$9:E$12,3,FALSE),0)), "")</f>
        <v/>
      </c>
      <c r="L84" s="8" t="str">
        <f>IFERROR(IF(OR(C42="", F84=""), "", F84*IFERROR(VLOOKUP(D42,'1_MASTER_RATES'!A$9:E$12,3,FALSE),0)), "")</f>
        <v/>
      </c>
      <c r="M84" s="8" t="str">
        <f t="shared" si="5"/>
        <v/>
      </c>
      <c r="N84" s="8" t="str">
        <f t="shared" si="6"/>
        <v/>
      </c>
      <c r="O84" s="8" t="str">
        <f t="shared" si="7"/>
        <v/>
      </c>
      <c r="P84" s="8" t="str">
        <f t="shared" si="8"/>
        <v/>
      </c>
    </row>
    <row r="85" spans="1:16" x14ac:dyDescent="0.25">
      <c r="A85" s="7" t="str">
        <f t="shared" si="9"/>
        <v/>
      </c>
      <c r="B85" s="7" t="str">
        <f t="shared" si="9"/>
        <v/>
      </c>
      <c r="C85" s="7" t="str">
        <f t="shared" si="9"/>
        <v/>
      </c>
      <c r="D85" s="7" t="str">
        <f t="shared" si="9"/>
        <v/>
      </c>
      <c r="E85" s="13" t="str">
        <f t="shared" si="1"/>
        <v/>
      </c>
      <c r="F85" s="13" t="str">
        <f t="shared" si="2"/>
        <v/>
      </c>
      <c r="G85" s="13" t="str">
        <f t="shared" si="3"/>
        <v/>
      </c>
      <c r="H85" s="8" t="str">
        <f>IFERROR(IF(OR(C43="", E85=""), "", E85*IFERROR(VLOOKUP(D43,'1_MASTER_RATES'!A$9:E$12,2,FALSE),0)), "")</f>
        <v/>
      </c>
      <c r="I85" s="8" t="str">
        <f>IFERROR(IF(OR(C43="", F85=""), "", F85*IFERROR(VLOOKUP(D43,'1_MASTER_RATES'!A$9:E$12,2,FALSE),0)), "")</f>
        <v/>
      </c>
      <c r="J85" s="8" t="str">
        <f t="shared" si="4"/>
        <v/>
      </c>
      <c r="K85" s="8" t="str">
        <f>IFERROR(IF(OR(C43="", E85=""), "", E85*IFERROR(VLOOKUP(D43,'1_MASTER_RATES'!A$9:E$12,3,FALSE),0)), "")</f>
        <v/>
      </c>
      <c r="L85" s="8" t="str">
        <f>IFERROR(IF(OR(C43="", F85=""), "", F85*IFERROR(VLOOKUP(D43,'1_MASTER_RATES'!A$9:E$12,3,FALSE),0)), "")</f>
        <v/>
      </c>
      <c r="M85" s="8" t="str">
        <f t="shared" si="5"/>
        <v/>
      </c>
      <c r="N85" s="8" t="str">
        <f t="shared" si="6"/>
        <v/>
      </c>
      <c r="O85" s="8" t="str">
        <f t="shared" si="7"/>
        <v/>
      </c>
      <c r="P85" s="8" t="str">
        <f t="shared" si="8"/>
        <v/>
      </c>
    </row>
    <row r="86" spans="1:16" x14ac:dyDescent="0.25">
      <c r="A86" s="9" t="s">
        <v>28</v>
      </c>
      <c r="B86" s="9" t="s">
        <v>29</v>
      </c>
      <c r="C86" s="9" t="s">
        <v>29</v>
      </c>
      <c r="D86" s="9" t="s">
        <v>29</v>
      </c>
      <c r="E86" s="9" t="s">
        <v>29</v>
      </c>
      <c r="F86" s="9" t="s">
        <v>29</v>
      </c>
      <c r="G86" s="9" t="s">
        <v>29</v>
      </c>
      <c r="H86" s="10" t="str">
        <f t="shared" ref="H86:P86" si="10">IFERROR(IF(SUM(H47:H85)=0, "", SUM(H47:H85)), "")</f>
        <v/>
      </c>
      <c r="I86" s="10" t="str">
        <f t="shared" si="10"/>
        <v/>
      </c>
      <c r="J86" s="10" t="str">
        <f t="shared" si="10"/>
        <v/>
      </c>
      <c r="K86" s="10" t="str">
        <f t="shared" si="10"/>
        <v/>
      </c>
      <c r="L86" s="10" t="str">
        <f t="shared" si="10"/>
        <v/>
      </c>
      <c r="M86" s="10" t="str">
        <f t="shared" si="10"/>
        <v/>
      </c>
      <c r="N86" s="10" t="str">
        <f t="shared" si="10"/>
        <v/>
      </c>
      <c r="O86" s="10" t="str">
        <f t="shared" si="10"/>
        <v/>
      </c>
      <c r="P86" s="10" t="str">
        <f t="shared" si="10"/>
        <v/>
      </c>
    </row>
  </sheetData>
  <mergeCells count="3">
    <mergeCell ref="A1:J1"/>
    <mergeCell ref="A3:J3"/>
    <mergeCell ref="A45:P45"/>
  </mergeCells>
  <pageMargins left="0.7" right="0.7" top="0.75" bottom="0.75" header="0.3" footer="0.3"/>
  <pageSetup orientation="portrait" horizontalDpi="4294967295" verticalDpi="429496729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'1_MASTER_RATES'!$A$9:$A$12</xm:f>
          </x14:formula1>
          <xm:sqref>D5:D43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8"/>
  <sheetViews>
    <sheetView workbookViewId="0"/>
  </sheetViews>
  <sheetFormatPr defaultRowHeight="15" x14ac:dyDescent="0.25"/>
  <cols>
    <col min="1" max="1" width="3" bestFit="1" customWidth="1"/>
    <col min="2" max="2" width="15.5703125" bestFit="1" customWidth="1"/>
    <col min="3" max="3" width="19" bestFit="1" customWidth="1"/>
    <col min="4" max="4" width="21.140625" bestFit="1" customWidth="1"/>
    <col min="5" max="5" width="15" bestFit="1" customWidth="1"/>
    <col min="6" max="6" width="16.42578125" bestFit="1" customWidth="1"/>
    <col min="7" max="7" width="20" bestFit="1" customWidth="1"/>
    <col min="8" max="8" width="16.7109375" bestFit="1" customWidth="1"/>
  </cols>
  <sheetData>
    <row r="1" spans="1:8" ht="21" x14ac:dyDescent="0.25">
      <c r="A1" s="21" t="s">
        <v>53</v>
      </c>
      <c r="B1" s="21"/>
      <c r="C1" s="21"/>
      <c r="D1" s="21"/>
      <c r="E1" s="21"/>
      <c r="F1" s="21"/>
      <c r="G1" s="21"/>
      <c r="H1" s="21"/>
    </row>
    <row r="3" spans="1:8" x14ac:dyDescent="0.25">
      <c r="A3" s="1" t="s">
        <v>54</v>
      </c>
      <c r="B3" s="1" t="s">
        <v>55</v>
      </c>
      <c r="C3" s="1" t="s">
        <v>56</v>
      </c>
      <c r="D3" s="1" t="s">
        <v>57</v>
      </c>
      <c r="E3" s="1" t="s">
        <v>58</v>
      </c>
      <c r="F3" s="1" t="s">
        <v>59</v>
      </c>
      <c r="G3" s="1" t="s">
        <v>60</v>
      </c>
      <c r="H3" s="1" t="s">
        <v>61</v>
      </c>
    </row>
    <row r="4" spans="1:8" x14ac:dyDescent="0.25">
      <c r="A4" s="7">
        <v>1</v>
      </c>
      <c r="B4" s="7" t="str">
        <f>IFERROR(IF('2_BOM_BREAKDOWN'!C5="","","Direct Material"),"")</f>
        <v/>
      </c>
      <c r="C4" s="7" t="str">
        <f>IFERROR(IF('2_BOM_BREAKDOWN'!C5="","",'2_BOM_BREAKDOWN'!C5),"")</f>
        <v/>
      </c>
      <c r="D4" s="7" t="str">
        <f>IFERROR(IF(OR('2_BOM_BREAKDOWN'!C5="",""),"",IF('2_BOM_BREAKDOWN'!G5&gt;'2_BOM_BREAKDOWN'!F5,"Unit Price Inflation ("&amp;TEXT('2_BOM_BREAKDOWN'!F5,"#,##0.00")&amp;" ➔ "&amp;TEXT('2_BOM_BREAKDOWN'!G5,"#,##0.00")&amp;" THB)",IF('2_BOM_BREAKDOWN'!G5&lt;'2_BOM_BREAKDOWN'!F5,"Unit Price Reduction ("&amp;TEXT('2_BOM_BREAKDOWN'!F5,"#,##0.00")&amp;" ➔ "&amp;TEXT('2_BOM_BREAKDOWN'!G5,"#,##0.00")&amp;" THB)",IF('2_BOM_BREAKDOWN'!I5&gt;'2_BOM_BREAKDOWN'!H5,"Loss % Increase ("&amp;TEXT('2_BOM_BREAKDOWN'!H5,"0.0%")&amp;" ➔ "&amp;TEXT('2_BOM_BREAKDOWN'!I5,"0.0%")&amp;")",IF('2_BOM_BREAKDOWN'!I5&lt;'2_BOM_BREAKDOWN'!H5,"Loss % Reduction ("&amp;TEXT('2_BOM_BREAKDOWN'!H5,"0.0%")&amp;" ➔ "&amp;TEXT('2_BOM_BREAKDOWN'!I5,"0.0%")&amp;")",""))))),"")</f>
        <v/>
      </c>
      <c r="E4" s="14" t="str">
        <f>IFERROR(IF(OR('2_BOM_BREAKDOWN'!C5="",""),"",IF('2_BOM_BREAKDOWN'!G5&lt;&gt;'2_BOM_BREAKDOWN'!F5,'2_BOM_BREAKDOWN'!F5,IF('2_BOM_BREAKDOWN'!I5&lt;&gt;'2_BOM_BREAKDOWN'!H5,'2_BOM_BREAKDOWN'!H5,""))),"")</f>
        <v/>
      </c>
      <c r="F4" s="14" t="str">
        <f>IFERROR(IF(OR('2_BOM_BREAKDOWN'!C5="",""),"",IF('2_BOM_BREAKDOWN'!G5&lt;&gt;'2_BOM_BREAKDOWN'!F5,'2_BOM_BREAKDOWN'!G5,IF('2_BOM_BREAKDOWN'!I5&lt;&gt;'2_BOM_BREAKDOWN'!H5,'2_BOM_BREAKDOWN'!I5,""))),"")</f>
        <v/>
      </c>
      <c r="G4" s="15" t="str">
        <f>IFERROR(IF(OR('2_BOM_BREAKDOWN'!C5="",'2_BOM_BREAKDOWN'!H24=""),"",'2_BOM_BREAKDOWN'!H24),"")</f>
        <v/>
      </c>
      <c r="H4" s="16" t="str">
        <f t="shared" ref="H4:H35" si="0">IFERROR(IF(OR(G4="",G4&lt;=0), "", G4+(55-A4)*0.00000001), "")</f>
        <v/>
      </c>
    </row>
    <row r="5" spans="1:8" x14ac:dyDescent="0.25">
      <c r="A5" s="7">
        <v>2</v>
      </c>
      <c r="B5" s="7" t="str">
        <f>IFERROR(IF('2_BOM_BREAKDOWN'!C6="","","Direct Material"),"")</f>
        <v/>
      </c>
      <c r="C5" s="7" t="str">
        <f>IFERROR(IF('2_BOM_BREAKDOWN'!C6="","",'2_BOM_BREAKDOWN'!C6),"")</f>
        <v/>
      </c>
      <c r="D5" s="7" t="str">
        <f>IFERROR(IF(OR('2_BOM_BREAKDOWN'!C6="",""),"",IF('2_BOM_BREAKDOWN'!G6&gt;'2_BOM_BREAKDOWN'!F6,"Unit Price Inflation ("&amp;TEXT('2_BOM_BREAKDOWN'!F6,"#,##0.00")&amp;" ➔ "&amp;TEXT('2_BOM_BREAKDOWN'!G6,"#,##0.00")&amp;" THB)",IF('2_BOM_BREAKDOWN'!G6&lt;'2_BOM_BREAKDOWN'!F6,"Unit Price Reduction ("&amp;TEXT('2_BOM_BREAKDOWN'!F6,"#,##0.00")&amp;" ➔ "&amp;TEXT('2_BOM_BREAKDOWN'!G6,"#,##0.00")&amp;" THB)",IF('2_BOM_BREAKDOWN'!I6&gt;'2_BOM_BREAKDOWN'!H6,"Loss % Increase ("&amp;TEXT('2_BOM_BREAKDOWN'!H6,"0.0%")&amp;" ➔ "&amp;TEXT('2_BOM_BREAKDOWN'!I6,"0.0%")&amp;")",IF('2_BOM_BREAKDOWN'!I6&lt;'2_BOM_BREAKDOWN'!H6,"Loss % Reduction ("&amp;TEXT('2_BOM_BREAKDOWN'!H6,"0.0%")&amp;" ➔ "&amp;TEXT('2_BOM_BREAKDOWN'!I6,"0.0%")&amp;")",""))))),"")</f>
        <v/>
      </c>
      <c r="E5" s="14" t="str">
        <f>IFERROR(IF(OR('2_BOM_BREAKDOWN'!C6="",""),"",IF('2_BOM_BREAKDOWN'!G6&lt;&gt;'2_BOM_BREAKDOWN'!F6,'2_BOM_BREAKDOWN'!F6,IF('2_BOM_BREAKDOWN'!I6&lt;&gt;'2_BOM_BREAKDOWN'!H6,'2_BOM_BREAKDOWN'!H6,""))),"")</f>
        <v/>
      </c>
      <c r="F5" s="14" t="str">
        <f>IFERROR(IF(OR('2_BOM_BREAKDOWN'!C6="",""),"",IF('2_BOM_BREAKDOWN'!G6&lt;&gt;'2_BOM_BREAKDOWN'!F6,'2_BOM_BREAKDOWN'!G6,IF('2_BOM_BREAKDOWN'!I6&lt;&gt;'2_BOM_BREAKDOWN'!H6,'2_BOM_BREAKDOWN'!I6,""))),"")</f>
        <v/>
      </c>
      <c r="G5" s="15" t="str">
        <f>IFERROR(IF(OR('2_BOM_BREAKDOWN'!C6="",'2_BOM_BREAKDOWN'!H25=""),"",'2_BOM_BREAKDOWN'!H25),"")</f>
        <v/>
      </c>
      <c r="H5" s="16" t="str">
        <f t="shared" si="0"/>
        <v/>
      </c>
    </row>
    <row r="6" spans="1:8" x14ac:dyDescent="0.25">
      <c r="A6" s="7">
        <v>3</v>
      </c>
      <c r="B6" s="7" t="str">
        <f>IFERROR(IF('2_BOM_BREAKDOWN'!C7="","","Direct Material"),"")</f>
        <v/>
      </c>
      <c r="C6" s="7" t="str">
        <f>IFERROR(IF('2_BOM_BREAKDOWN'!C7="","",'2_BOM_BREAKDOWN'!C7),"")</f>
        <v/>
      </c>
      <c r="D6" s="7" t="str">
        <f>IFERROR(IF(OR('2_BOM_BREAKDOWN'!C7="",""),"",IF('2_BOM_BREAKDOWN'!G7&gt;'2_BOM_BREAKDOWN'!F7,"Unit Price Inflation ("&amp;TEXT('2_BOM_BREAKDOWN'!F7,"#,##0.00")&amp;" ➔ "&amp;TEXT('2_BOM_BREAKDOWN'!G7,"#,##0.00")&amp;" THB)",IF('2_BOM_BREAKDOWN'!G7&lt;'2_BOM_BREAKDOWN'!F7,"Unit Price Reduction ("&amp;TEXT('2_BOM_BREAKDOWN'!F7,"#,##0.00")&amp;" ➔ "&amp;TEXT('2_BOM_BREAKDOWN'!G7,"#,##0.00")&amp;" THB)",IF('2_BOM_BREAKDOWN'!I7&gt;'2_BOM_BREAKDOWN'!H7,"Loss % Increase ("&amp;TEXT('2_BOM_BREAKDOWN'!H7,"0.0%")&amp;" ➔ "&amp;TEXT('2_BOM_BREAKDOWN'!I7,"0.0%")&amp;")",IF('2_BOM_BREAKDOWN'!I7&lt;'2_BOM_BREAKDOWN'!H7,"Loss % Reduction ("&amp;TEXT('2_BOM_BREAKDOWN'!H7,"0.0%")&amp;" ➔ "&amp;TEXT('2_BOM_BREAKDOWN'!I7,"0.0%")&amp;")",""))))),"")</f>
        <v/>
      </c>
      <c r="E6" s="14" t="str">
        <f>IFERROR(IF(OR('2_BOM_BREAKDOWN'!C7="",""),"",IF('2_BOM_BREAKDOWN'!G7&lt;&gt;'2_BOM_BREAKDOWN'!F7,'2_BOM_BREAKDOWN'!F7,IF('2_BOM_BREAKDOWN'!I7&lt;&gt;'2_BOM_BREAKDOWN'!H7,'2_BOM_BREAKDOWN'!H7,""))),"")</f>
        <v/>
      </c>
      <c r="F6" s="14" t="str">
        <f>IFERROR(IF(OR('2_BOM_BREAKDOWN'!C7="",""),"",IF('2_BOM_BREAKDOWN'!G7&lt;&gt;'2_BOM_BREAKDOWN'!F7,'2_BOM_BREAKDOWN'!G7,IF('2_BOM_BREAKDOWN'!I7&lt;&gt;'2_BOM_BREAKDOWN'!H7,'2_BOM_BREAKDOWN'!I7,""))),"")</f>
        <v/>
      </c>
      <c r="G6" s="15" t="str">
        <f>IFERROR(IF(OR('2_BOM_BREAKDOWN'!C7="",'2_BOM_BREAKDOWN'!H26=""),"",'2_BOM_BREAKDOWN'!H26),"")</f>
        <v/>
      </c>
      <c r="H6" s="16" t="str">
        <f t="shared" si="0"/>
        <v/>
      </c>
    </row>
    <row r="7" spans="1:8" x14ac:dyDescent="0.25">
      <c r="A7" s="7">
        <v>4</v>
      </c>
      <c r="B7" s="7" t="str">
        <f>IFERROR(IF('2_BOM_BREAKDOWN'!C8="","","Direct Material"),"")</f>
        <v/>
      </c>
      <c r="C7" s="7" t="str">
        <f>IFERROR(IF('2_BOM_BREAKDOWN'!C8="","",'2_BOM_BREAKDOWN'!C8),"")</f>
        <v/>
      </c>
      <c r="D7" s="7" t="str">
        <f>IFERROR(IF(OR('2_BOM_BREAKDOWN'!C8="",""),"",IF('2_BOM_BREAKDOWN'!G8&gt;'2_BOM_BREAKDOWN'!F8,"Unit Price Inflation ("&amp;TEXT('2_BOM_BREAKDOWN'!F8,"#,##0.00")&amp;" ➔ "&amp;TEXT('2_BOM_BREAKDOWN'!G8,"#,##0.00")&amp;" THB)",IF('2_BOM_BREAKDOWN'!G8&lt;'2_BOM_BREAKDOWN'!F8,"Unit Price Reduction ("&amp;TEXT('2_BOM_BREAKDOWN'!F8,"#,##0.00")&amp;" ➔ "&amp;TEXT('2_BOM_BREAKDOWN'!G8,"#,##0.00")&amp;" THB)",IF('2_BOM_BREAKDOWN'!I8&gt;'2_BOM_BREAKDOWN'!H8,"Loss % Increase ("&amp;TEXT('2_BOM_BREAKDOWN'!H8,"0.0%")&amp;" ➔ "&amp;TEXT('2_BOM_BREAKDOWN'!I8,"0.0%")&amp;")",IF('2_BOM_BREAKDOWN'!I8&lt;'2_BOM_BREAKDOWN'!H8,"Loss % Reduction ("&amp;TEXT('2_BOM_BREAKDOWN'!H8,"0.0%")&amp;" ➔ "&amp;TEXT('2_BOM_BREAKDOWN'!I8,"0.0%")&amp;")",""))))),"")</f>
        <v/>
      </c>
      <c r="E7" s="14" t="str">
        <f>IFERROR(IF(OR('2_BOM_BREAKDOWN'!C8="",""),"",IF('2_BOM_BREAKDOWN'!G8&lt;&gt;'2_BOM_BREAKDOWN'!F8,'2_BOM_BREAKDOWN'!F8,IF('2_BOM_BREAKDOWN'!I8&lt;&gt;'2_BOM_BREAKDOWN'!H8,'2_BOM_BREAKDOWN'!H8,""))),"")</f>
        <v/>
      </c>
      <c r="F7" s="14" t="str">
        <f>IFERROR(IF(OR('2_BOM_BREAKDOWN'!C8="",""),"",IF('2_BOM_BREAKDOWN'!G8&lt;&gt;'2_BOM_BREAKDOWN'!F8,'2_BOM_BREAKDOWN'!G8,IF('2_BOM_BREAKDOWN'!I8&lt;&gt;'2_BOM_BREAKDOWN'!H8,'2_BOM_BREAKDOWN'!I8,""))),"")</f>
        <v/>
      </c>
      <c r="G7" s="15" t="str">
        <f>IFERROR(IF(OR('2_BOM_BREAKDOWN'!C8="",'2_BOM_BREAKDOWN'!H27=""),"",'2_BOM_BREAKDOWN'!H27),"")</f>
        <v/>
      </c>
      <c r="H7" s="16" t="str">
        <f t="shared" si="0"/>
        <v/>
      </c>
    </row>
    <row r="8" spans="1:8" x14ac:dyDescent="0.25">
      <c r="A8" s="7">
        <v>5</v>
      </c>
      <c r="B8" s="7" t="str">
        <f>IFERROR(IF('2_BOM_BREAKDOWN'!C9="","","Direct Material"),"")</f>
        <v/>
      </c>
      <c r="C8" s="7" t="str">
        <f>IFERROR(IF('2_BOM_BREAKDOWN'!C9="","",'2_BOM_BREAKDOWN'!C9),"")</f>
        <v/>
      </c>
      <c r="D8" s="7" t="str">
        <f>IFERROR(IF(OR('2_BOM_BREAKDOWN'!C9="",""),"",IF('2_BOM_BREAKDOWN'!G9&gt;'2_BOM_BREAKDOWN'!F9,"Unit Price Inflation ("&amp;TEXT('2_BOM_BREAKDOWN'!F9,"#,##0.00")&amp;" ➔ "&amp;TEXT('2_BOM_BREAKDOWN'!G9,"#,##0.00")&amp;" THB)",IF('2_BOM_BREAKDOWN'!G9&lt;'2_BOM_BREAKDOWN'!F9,"Unit Price Reduction ("&amp;TEXT('2_BOM_BREAKDOWN'!F9,"#,##0.00")&amp;" ➔ "&amp;TEXT('2_BOM_BREAKDOWN'!G9,"#,##0.00")&amp;" THB)",IF('2_BOM_BREAKDOWN'!I9&gt;'2_BOM_BREAKDOWN'!H9,"Loss % Increase ("&amp;TEXT('2_BOM_BREAKDOWN'!H9,"0.0%")&amp;" ➔ "&amp;TEXT('2_BOM_BREAKDOWN'!I9,"0.0%")&amp;")",IF('2_BOM_BREAKDOWN'!I9&lt;'2_BOM_BREAKDOWN'!H9,"Loss % Reduction ("&amp;TEXT('2_BOM_BREAKDOWN'!H9,"0.0%")&amp;" ➔ "&amp;TEXT('2_BOM_BREAKDOWN'!I9,"0.0%")&amp;")",""))))),"")</f>
        <v/>
      </c>
      <c r="E8" s="14" t="str">
        <f>IFERROR(IF(OR('2_BOM_BREAKDOWN'!C9="",""),"",IF('2_BOM_BREAKDOWN'!G9&lt;&gt;'2_BOM_BREAKDOWN'!F9,'2_BOM_BREAKDOWN'!F9,IF('2_BOM_BREAKDOWN'!I9&lt;&gt;'2_BOM_BREAKDOWN'!H9,'2_BOM_BREAKDOWN'!H9,""))),"")</f>
        <v/>
      </c>
      <c r="F8" s="14" t="str">
        <f>IFERROR(IF(OR('2_BOM_BREAKDOWN'!C9="",""),"",IF('2_BOM_BREAKDOWN'!G9&lt;&gt;'2_BOM_BREAKDOWN'!F9,'2_BOM_BREAKDOWN'!G9,IF('2_BOM_BREAKDOWN'!I9&lt;&gt;'2_BOM_BREAKDOWN'!H9,'2_BOM_BREAKDOWN'!I9,""))),"")</f>
        <v/>
      </c>
      <c r="G8" s="15" t="str">
        <f>IFERROR(IF(OR('2_BOM_BREAKDOWN'!C9="",'2_BOM_BREAKDOWN'!H28=""),"",'2_BOM_BREAKDOWN'!H28),"")</f>
        <v/>
      </c>
      <c r="H8" s="16" t="str">
        <f t="shared" si="0"/>
        <v/>
      </c>
    </row>
    <row r="9" spans="1:8" x14ac:dyDescent="0.25">
      <c r="A9" s="7">
        <v>6</v>
      </c>
      <c r="B9" s="7" t="str">
        <f>IFERROR(IF('2_BOM_BREAKDOWN'!C10="","","Direct Material"),"")</f>
        <v/>
      </c>
      <c r="C9" s="7" t="str">
        <f>IFERROR(IF('2_BOM_BREAKDOWN'!C10="","",'2_BOM_BREAKDOWN'!C10),"")</f>
        <v/>
      </c>
      <c r="D9" s="7" t="str">
        <f>IFERROR(IF(OR('2_BOM_BREAKDOWN'!C10="",""),"",IF('2_BOM_BREAKDOWN'!G10&gt;'2_BOM_BREAKDOWN'!F10,"Unit Price Inflation ("&amp;TEXT('2_BOM_BREAKDOWN'!F10,"#,##0.00")&amp;" ➔ "&amp;TEXT('2_BOM_BREAKDOWN'!G10,"#,##0.00")&amp;" THB)",IF('2_BOM_BREAKDOWN'!G10&lt;'2_BOM_BREAKDOWN'!F10,"Unit Price Reduction ("&amp;TEXT('2_BOM_BREAKDOWN'!F10,"#,##0.00")&amp;" ➔ "&amp;TEXT('2_BOM_BREAKDOWN'!G10,"#,##0.00")&amp;" THB)",IF('2_BOM_BREAKDOWN'!I10&gt;'2_BOM_BREAKDOWN'!H10,"Loss % Increase ("&amp;TEXT('2_BOM_BREAKDOWN'!H10,"0.0%")&amp;" ➔ "&amp;TEXT('2_BOM_BREAKDOWN'!I10,"0.0%")&amp;")",IF('2_BOM_BREAKDOWN'!I10&lt;'2_BOM_BREAKDOWN'!H10,"Loss % Reduction ("&amp;TEXT('2_BOM_BREAKDOWN'!H10,"0.0%")&amp;" ➔ "&amp;TEXT('2_BOM_BREAKDOWN'!I10,"0.0%")&amp;")",""))))),"")</f>
        <v/>
      </c>
      <c r="E9" s="14" t="str">
        <f>IFERROR(IF(OR('2_BOM_BREAKDOWN'!C10="",""),"",IF('2_BOM_BREAKDOWN'!G10&lt;&gt;'2_BOM_BREAKDOWN'!F10,'2_BOM_BREAKDOWN'!F10,IF('2_BOM_BREAKDOWN'!I10&lt;&gt;'2_BOM_BREAKDOWN'!H10,'2_BOM_BREAKDOWN'!H10,""))),"")</f>
        <v/>
      </c>
      <c r="F9" s="14" t="str">
        <f>IFERROR(IF(OR('2_BOM_BREAKDOWN'!C10="",""),"",IF('2_BOM_BREAKDOWN'!G10&lt;&gt;'2_BOM_BREAKDOWN'!F10,'2_BOM_BREAKDOWN'!G10,IF('2_BOM_BREAKDOWN'!I10&lt;&gt;'2_BOM_BREAKDOWN'!H10,'2_BOM_BREAKDOWN'!I10,""))),"")</f>
        <v/>
      </c>
      <c r="G9" s="15" t="str">
        <f>IFERROR(IF(OR('2_BOM_BREAKDOWN'!C10="",'2_BOM_BREAKDOWN'!H29=""),"",'2_BOM_BREAKDOWN'!H29),"")</f>
        <v/>
      </c>
      <c r="H9" s="16" t="str">
        <f t="shared" si="0"/>
        <v/>
      </c>
    </row>
    <row r="10" spans="1:8" x14ac:dyDescent="0.25">
      <c r="A10" s="7">
        <v>7</v>
      </c>
      <c r="B10" s="7" t="str">
        <f>IFERROR(IF('2_BOM_BREAKDOWN'!C11="","","Direct Material"),"")</f>
        <v/>
      </c>
      <c r="C10" s="7" t="str">
        <f>IFERROR(IF('2_BOM_BREAKDOWN'!C11="","",'2_BOM_BREAKDOWN'!C11),"")</f>
        <v/>
      </c>
      <c r="D10" s="7" t="str">
        <f>IFERROR(IF(OR('2_BOM_BREAKDOWN'!C11="",""),"",IF('2_BOM_BREAKDOWN'!G11&gt;'2_BOM_BREAKDOWN'!F11,"Unit Price Inflation ("&amp;TEXT('2_BOM_BREAKDOWN'!F11,"#,##0.00")&amp;" ➔ "&amp;TEXT('2_BOM_BREAKDOWN'!G11,"#,##0.00")&amp;" THB)",IF('2_BOM_BREAKDOWN'!G11&lt;'2_BOM_BREAKDOWN'!F11,"Unit Price Reduction ("&amp;TEXT('2_BOM_BREAKDOWN'!F11,"#,##0.00")&amp;" ➔ "&amp;TEXT('2_BOM_BREAKDOWN'!G11,"#,##0.00")&amp;" THB)",IF('2_BOM_BREAKDOWN'!I11&gt;'2_BOM_BREAKDOWN'!H11,"Loss % Increase ("&amp;TEXT('2_BOM_BREAKDOWN'!H11,"0.0%")&amp;" ➔ "&amp;TEXT('2_BOM_BREAKDOWN'!I11,"0.0%")&amp;")",IF('2_BOM_BREAKDOWN'!I11&lt;'2_BOM_BREAKDOWN'!H11,"Loss % Reduction ("&amp;TEXT('2_BOM_BREAKDOWN'!H11,"0.0%")&amp;" ➔ "&amp;TEXT('2_BOM_BREAKDOWN'!I11,"0.0%")&amp;")",""))))),"")</f>
        <v/>
      </c>
      <c r="E10" s="14" t="str">
        <f>IFERROR(IF(OR('2_BOM_BREAKDOWN'!C11="",""),"",IF('2_BOM_BREAKDOWN'!G11&lt;&gt;'2_BOM_BREAKDOWN'!F11,'2_BOM_BREAKDOWN'!F11,IF('2_BOM_BREAKDOWN'!I11&lt;&gt;'2_BOM_BREAKDOWN'!H11,'2_BOM_BREAKDOWN'!H11,""))),"")</f>
        <v/>
      </c>
      <c r="F10" s="14" t="str">
        <f>IFERROR(IF(OR('2_BOM_BREAKDOWN'!C11="",""),"",IF('2_BOM_BREAKDOWN'!G11&lt;&gt;'2_BOM_BREAKDOWN'!F11,'2_BOM_BREAKDOWN'!G11,IF('2_BOM_BREAKDOWN'!I11&lt;&gt;'2_BOM_BREAKDOWN'!H11,'2_BOM_BREAKDOWN'!I11,""))),"")</f>
        <v/>
      </c>
      <c r="G10" s="15" t="str">
        <f>IFERROR(IF(OR('2_BOM_BREAKDOWN'!C11="",'2_BOM_BREAKDOWN'!H30=""),"",'2_BOM_BREAKDOWN'!H30),"")</f>
        <v/>
      </c>
      <c r="H10" s="16" t="str">
        <f t="shared" si="0"/>
        <v/>
      </c>
    </row>
    <row r="11" spans="1:8" x14ac:dyDescent="0.25">
      <c r="A11" s="7">
        <v>8</v>
      </c>
      <c r="B11" s="7" t="str">
        <f>IFERROR(IF('2_BOM_BREAKDOWN'!C12="","","Direct Material"),"")</f>
        <v/>
      </c>
      <c r="C11" s="7" t="str">
        <f>IFERROR(IF('2_BOM_BREAKDOWN'!C12="","",'2_BOM_BREAKDOWN'!C12),"")</f>
        <v/>
      </c>
      <c r="D11" s="7" t="str">
        <f>IFERROR(IF(OR('2_BOM_BREAKDOWN'!C12="",""),"",IF('2_BOM_BREAKDOWN'!G12&gt;'2_BOM_BREAKDOWN'!F12,"Unit Price Inflation ("&amp;TEXT('2_BOM_BREAKDOWN'!F12,"#,##0.00")&amp;" ➔ "&amp;TEXT('2_BOM_BREAKDOWN'!G12,"#,##0.00")&amp;" THB)",IF('2_BOM_BREAKDOWN'!G12&lt;'2_BOM_BREAKDOWN'!F12,"Unit Price Reduction ("&amp;TEXT('2_BOM_BREAKDOWN'!F12,"#,##0.00")&amp;" ➔ "&amp;TEXT('2_BOM_BREAKDOWN'!G12,"#,##0.00")&amp;" THB)",IF('2_BOM_BREAKDOWN'!I12&gt;'2_BOM_BREAKDOWN'!H12,"Loss % Increase ("&amp;TEXT('2_BOM_BREAKDOWN'!H12,"0.0%")&amp;" ➔ "&amp;TEXT('2_BOM_BREAKDOWN'!I12,"0.0%")&amp;")",IF('2_BOM_BREAKDOWN'!I12&lt;'2_BOM_BREAKDOWN'!H12,"Loss % Reduction ("&amp;TEXT('2_BOM_BREAKDOWN'!H12,"0.0%")&amp;" ➔ "&amp;TEXT('2_BOM_BREAKDOWN'!I12,"0.0%")&amp;")",""))))),"")</f>
        <v/>
      </c>
      <c r="E11" s="14" t="str">
        <f>IFERROR(IF(OR('2_BOM_BREAKDOWN'!C12="",""),"",IF('2_BOM_BREAKDOWN'!G12&lt;&gt;'2_BOM_BREAKDOWN'!F12,'2_BOM_BREAKDOWN'!F12,IF('2_BOM_BREAKDOWN'!I12&lt;&gt;'2_BOM_BREAKDOWN'!H12,'2_BOM_BREAKDOWN'!H12,""))),"")</f>
        <v/>
      </c>
      <c r="F11" s="14" t="str">
        <f>IFERROR(IF(OR('2_BOM_BREAKDOWN'!C12="",""),"",IF('2_BOM_BREAKDOWN'!G12&lt;&gt;'2_BOM_BREAKDOWN'!F12,'2_BOM_BREAKDOWN'!G12,IF('2_BOM_BREAKDOWN'!I12&lt;&gt;'2_BOM_BREAKDOWN'!H12,'2_BOM_BREAKDOWN'!I12,""))),"")</f>
        <v/>
      </c>
      <c r="G11" s="15" t="str">
        <f>IFERROR(IF(OR('2_BOM_BREAKDOWN'!C12="",'2_BOM_BREAKDOWN'!H31=""),"",'2_BOM_BREAKDOWN'!H31),"")</f>
        <v/>
      </c>
      <c r="H11" s="16" t="str">
        <f t="shared" si="0"/>
        <v/>
      </c>
    </row>
    <row r="12" spans="1:8" x14ac:dyDescent="0.25">
      <c r="A12" s="7">
        <v>9</v>
      </c>
      <c r="B12" s="7" t="str">
        <f>IFERROR(IF('2_BOM_BREAKDOWN'!C13="","","Direct Material"),"")</f>
        <v/>
      </c>
      <c r="C12" s="7" t="str">
        <f>IFERROR(IF('2_BOM_BREAKDOWN'!C13="","",'2_BOM_BREAKDOWN'!C13),"")</f>
        <v/>
      </c>
      <c r="D12" s="7" t="str">
        <f>IFERROR(IF(OR('2_BOM_BREAKDOWN'!C13="",""),"",IF('2_BOM_BREAKDOWN'!G13&gt;'2_BOM_BREAKDOWN'!F13,"Unit Price Inflation ("&amp;TEXT('2_BOM_BREAKDOWN'!F13,"#,##0.00")&amp;" ➔ "&amp;TEXT('2_BOM_BREAKDOWN'!G13,"#,##0.00")&amp;" THB)",IF('2_BOM_BREAKDOWN'!G13&lt;'2_BOM_BREAKDOWN'!F13,"Unit Price Reduction ("&amp;TEXT('2_BOM_BREAKDOWN'!F13,"#,##0.00")&amp;" ➔ "&amp;TEXT('2_BOM_BREAKDOWN'!G13,"#,##0.00")&amp;" THB)",IF('2_BOM_BREAKDOWN'!I13&gt;'2_BOM_BREAKDOWN'!H13,"Loss % Increase ("&amp;TEXT('2_BOM_BREAKDOWN'!H13,"0.0%")&amp;" ➔ "&amp;TEXT('2_BOM_BREAKDOWN'!I13,"0.0%")&amp;")",IF('2_BOM_BREAKDOWN'!I13&lt;'2_BOM_BREAKDOWN'!H13,"Loss % Reduction ("&amp;TEXT('2_BOM_BREAKDOWN'!H13,"0.0%")&amp;" ➔ "&amp;TEXT('2_BOM_BREAKDOWN'!I13,"0.0%")&amp;")",""))))),"")</f>
        <v/>
      </c>
      <c r="E12" s="14" t="str">
        <f>IFERROR(IF(OR('2_BOM_BREAKDOWN'!C13="",""),"",IF('2_BOM_BREAKDOWN'!G13&lt;&gt;'2_BOM_BREAKDOWN'!F13,'2_BOM_BREAKDOWN'!F13,IF('2_BOM_BREAKDOWN'!I13&lt;&gt;'2_BOM_BREAKDOWN'!H13,'2_BOM_BREAKDOWN'!H13,""))),"")</f>
        <v/>
      </c>
      <c r="F12" s="14" t="str">
        <f>IFERROR(IF(OR('2_BOM_BREAKDOWN'!C13="",""),"",IF('2_BOM_BREAKDOWN'!G13&lt;&gt;'2_BOM_BREAKDOWN'!F13,'2_BOM_BREAKDOWN'!G13,IF('2_BOM_BREAKDOWN'!I13&lt;&gt;'2_BOM_BREAKDOWN'!H13,'2_BOM_BREAKDOWN'!I13,""))),"")</f>
        <v/>
      </c>
      <c r="G12" s="15" t="str">
        <f>IFERROR(IF(OR('2_BOM_BREAKDOWN'!C13="",'2_BOM_BREAKDOWN'!H32=""),"",'2_BOM_BREAKDOWN'!H32),"")</f>
        <v/>
      </c>
      <c r="H12" s="16" t="str">
        <f t="shared" si="0"/>
        <v/>
      </c>
    </row>
    <row r="13" spans="1:8" x14ac:dyDescent="0.25">
      <c r="A13" s="7">
        <v>10</v>
      </c>
      <c r="B13" s="7" t="str">
        <f>IFERROR(IF('2_BOM_BREAKDOWN'!C14="","","Direct Material"),"")</f>
        <v/>
      </c>
      <c r="C13" s="7" t="str">
        <f>IFERROR(IF('2_BOM_BREAKDOWN'!C14="","",'2_BOM_BREAKDOWN'!C14),"")</f>
        <v/>
      </c>
      <c r="D13" s="7" t="str">
        <f>IFERROR(IF(OR('2_BOM_BREAKDOWN'!C14="",""),"",IF('2_BOM_BREAKDOWN'!G14&gt;'2_BOM_BREAKDOWN'!F14,"Unit Price Inflation ("&amp;TEXT('2_BOM_BREAKDOWN'!F14,"#,##0.00")&amp;" ➔ "&amp;TEXT('2_BOM_BREAKDOWN'!G14,"#,##0.00")&amp;" THB)",IF('2_BOM_BREAKDOWN'!G14&lt;'2_BOM_BREAKDOWN'!F14,"Unit Price Reduction ("&amp;TEXT('2_BOM_BREAKDOWN'!F14,"#,##0.00")&amp;" ➔ "&amp;TEXT('2_BOM_BREAKDOWN'!G14,"#,##0.00")&amp;" THB)",IF('2_BOM_BREAKDOWN'!I14&gt;'2_BOM_BREAKDOWN'!H14,"Loss % Increase ("&amp;TEXT('2_BOM_BREAKDOWN'!H14,"0.0%")&amp;" ➔ "&amp;TEXT('2_BOM_BREAKDOWN'!I14,"0.0%")&amp;")",IF('2_BOM_BREAKDOWN'!I14&lt;'2_BOM_BREAKDOWN'!H14,"Loss % Reduction ("&amp;TEXT('2_BOM_BREAKDOWN'!H14,"0.0%")&amp;" ➔ "&amp;TEXT('2_BOM_BREAKDOWN'!I14,"0.0%")&amp;")",""))))),"")</f>
        <v/>
      </c>
      <c r="E13" s="14" t="str">
        <f>IFERROR(IF(OR('2_BOM_BREAKDOWN'!C14="",""),"",IF('2_BOM_BREAKDOWN'!G14&lt;&gt;'2_BOM_BREAKDOWN'!F14,'2_BOM_BREAKDOWN'!F14,IF('2_BOM_BREAKDOWN'!I14&lt;&gt;'2_BOM_BREAKDOWN'!H14,'2_BOM_BREAKDOWN'!H14,""))),"")</f>
        <v/>
      </c>
      <c r="F13" s="14" t="str">
        <f>IFERROR(IF(OR('2_BOM_BREAKDOWN'!C14="",""),"",IF('2_BOM_BREAKDOWN'!G14&lt;&gt;'2_BOM_BREAKDOWN'!F14,'2_BOM_BREAKDOWN'!G14,IF('2_BOM_BREAKDOWN'!I14&lt;&gt;'2_BOM_BREAKDOWN'!H14,'2_BOM_BREAKDOWN'!I14,""))),"")</f>
        <v/>
      </c>
      <c r="G13" s="15" t="str">
        <f>IFERROR(IF(OR('2_BOM_BREAKDOWN'!C14="",'2_BOM_BREAKDOWN'!H33=""),"",'2_BOM_BREAKDOWN'!H33),"")</f>
        <v/>
      </c>
      <c r="H13" s="16" t="str">
        <f t="shared" si="0"/>
        <v/>
      </c>
    </row>
    <row r="14" spans="1:8" x14ac:dyDescent="0.25">
      <c r="A14" s="7">
        <v>11</v>
      </c>
      <c r="B14" s="7" t="str">
        <f>IFERROR(IF('2_BOM_BREAKDOWN'!C15="","","Direct Material"),"")</f>
        <v/>
      </c>
      <c r="C14" s="7" t="str">
        <f>IFERROR(IF('2_BOM_BREAKDOWN'!C15="","",'2_BOM_BREAKDOWN'!C15),"")</f>
        <v/>
      </c>
      <c r="D14" s="7" t="str">
        <f>IFERROR(IF(OR('2_BOM_BREAKDOWN'!C15="",""),"",IF('2_BOM_BREAKDOWN'!G15&gt;'2_BOM_BREAKDOWN'!F15,"Unit Price Inflation ("&amp;TEXT('2_BOM_BREAKDOWN'!F15,"#,##0.00")&amp;" ➔ "&amp;TEXT('2_BOM_BREAKDOWN'!G15,"#,##0.00")&amp;" THB)",IF('2_BOM_BREAKDOWN'!G15&lt;'2_BOM_BREAKDOWN'!F15,"Unit Price Reduction ("&amp;TEXT('2_BOM_BREAKDOWN'!F15,"#,##0.00")&amp;" ➔ "&amp;TEXT('2_BOM_BREAKDOWN'!G15,"#,##0.00")&amp;" THB)",IF('2_BOM_BREAKDOWN'!I15&gt;'2_BOM_BREAKDOWN'!H15,"Loss % Increase ("&amp;TEXT('2_BOM_BREAKDOWN'!H15,"0.0%")&amp;" ➔ "&amp;TEXT('2_BOM_BREAKDOWN'!I15,"0.0%")&amp;")",IF('2_BOM_BREAKDOWN'!I15&lt;'2_BOM_BREAKDOWN'!H15,"Loss % Reduction ("&amp;TEXT('2_BOM_BREAKDOWN'!H15,"0.0%")&amp;" ➔ "&amp;TEXT('2_BOM_BREAKDOWN'!I15,"0.0%")&amp;")",""))))),"")</f>
        <v/>
      </c>
      <c r="E14" s="14" t="str">
        <f>IFERROR(IF(OR('2_BOM_BREAKDOWN'!C15="",""),"",IF('2_BOM_BREAKDOWN'!G15&lt;&gt;'2_BOM_BREAKDOWN'!F15,'2_BOM_BREAKDOWN'!F15,IF('2_BOM_BREAKDOWN'!I15&lt;&gt;'2_BOM_BREAKDOWN'!H15,'2_BOM_BREAKDOWN'!H15,""))),"")</f>
        <v/>
      </c>
      <c r="F14" s="14" t="str">
        <f>IFERROR(IF(OR('2_BOM_BREAKDOWN'!C15="",""),"",IF('2_BOM_BREAKDOWN'!G15&lt;&gt;'2_BOM_BREAKDOWN'!F15,'2_BOM_BREAKDOWN'!G15,IF('2_BOM_BREAKDOWN'!I15&lt;&gt;'2_BOM_BREAKDOWN'!H15,'2_BOM_BREAKDOWN'!I15,""))),"")</f>
        <v/>
      </c>
      <c r="G14" s="15" t="str">
        <f>IFERROR(IF(OR('2_BOM_BREAKDOWN'!C15="",'2_BOM_BREAKDOWN'!H34=""),"",'2_BOM_BREAKDOWN'!H34),"")</f>
        <v/>
      </c>
      <c r="H14" s="16" t="str">
        <f t="shared" si="0"/>
        <v/>
      </c>
    </row>
    <row r="15" spans="1:8" x14ac:dyDescent="0.25">
      <c r="A15" s="7">
        <v>12</v>
      </c>
      <c r="B15" s="7" t="str">
        <f>IFERROR(IF('2_BOM_BREAKDOWN'!C16="","","Direct Material"),"")</f>
        <v/>
      </c>
      <c r="C15" s="7" t="str">
        <f>IFERROR(IF('2_BOM_BREAKDOWN'!C16="","",'2_BOM_BREAKDOWN'!C16),"")</f>
        <v/>
      </c>
      <c r="D15" s="7" t="str">
        <f>IFERROR(IF(OR('2_BOM_BREAKDOWN'!C16="",""),"",IF('2_BOM_BREAKDOWN'!G16&gt;'2_BOM_BREAKDOWN'!F16,"Unit Price Inflation ("&amp;TEXT('2_BOM_BREAKDOWN'!F16,"#,##0.00")&amp;" ➔ "&amp;TEXT('2_BOM_BREAKDOWN'!G16,"#,##0.00")&amp;" THB)",IF('2_BOM_BREAKDOWN'!G16&lt;'2_BOM_BREAKDOWN'!F16,"Unit Price Reduction ("&amp;TEXT('2_BOM_BREAKDOWN'!F16,"#,##0.00")&amp;" ➔ "&amp;TEXT('2_BOM_BREAKDOWN'!G16,"#,##0.00")&amp;" THB)",IF('2_BOM_BREAKDOWN'!I16&gt;'2_BOM_BREAKDOWN'!H16,"Loss % Increase ("&amp;TEXT('2_BOM_BREAKDOWN'!H16,"0.0%")&amp;" ➔ "&amp;TEXT('2_BOM_BREAKDOWN'!I16,"0.0%")&amp;")",IF('2_BOM_BREAKDOWN'!I16&lt;'2_BOM_BREAKDOWN'!H16,"Loss % Reduction ("&amp;TEXT('2_BOM_BREAKDOWN'!H16,"0.0%")&amp;" ➔ "&amp;TEXT('2_BOM_BREAKDOWN'!I16,"0.0%")&amp;")",""))))),"")</f>
        <v/>
      </c>
      <c r="E15" s="14" t="str">
        <f>IFERROR(IF(OR('2_BOM_BREAKDOWN'!C16="",""),"",IF('2_BOM_BREAKDOWN'!G16&lt;&gt;'2_BOM_BREAKDOWN'!F16,'2_BOM_BREAKDOWN'!F16,IF('2_BOM_BREAKDOWN'!I16&lt;&gt;'2_BOM_BREAKDOWN'!H16,'2_BOM_BREAKDOWN'!H16,""))),"")</f>
        <v/>
      </c>
      <c r="F15" s="14" t="str">
        <f>IFERROR(IF(OR('2_BOM_BREAKDOWN'!C16="",""),"",IF('2_BOM_BREAKDOWN'!G16&lt;&gt;'2_BOM_BREAKDOWN'!F16,'2_BOM_BREAKDOWN'!G16,IF('2_BOM_BREAKDOWN'!I16&lt;&gt;'2_BOM_BREAKDOWN'!H16,'2_BOM_BREAKDOWN'!I16,""))),"")</f>
        <v/>
      </c>
      <c r="G15" s="15" t="str">
        <f>IFERROR(IF(OR('2_BOM_BREAKDOWN'!C16="",'2_BOM_BREAKDOWN'!H35=""),"",'2_BOM_BREAKDOWN'!H35),"")</f>
        <v/>
      </c>
      <c r="H15" s="16" t="str">
        <f t="shared" si="0"/>
        <v/>
      </c>
    </row>
    <row r="16" spans="1:8" x14ac:dyDescent="0.25">
      <c r="A16" s="7">
        <v>13</v>
      </c>
      <c r="B16" s="7" t="str">
        <f>IFERROR(IF('2_BOM_BREAKDOWN'!C17="","","Direct Material"),"")</f>
        <v/>
      </c>
      <c r="C16" s="7" t="str">
        <f>IFERROR(IF('2_BOM_BREAKDOWN'!C17="","",'2_BOM_BREAKDOWN'!C17),"")</f>
        <v/>
      </c>
      <c r="D16" s="7" t="str">
        <f>IFERROR(IF(OR('2_BOM_BREAKDOWN'!C17="",""),"",IF('2_BOM_BREAKDOWN'!G17&gt;'2_BOM_BREAKDOWN'!F17,"Unit Price Inflation ("&amp;TEXT('2_BOM_BREAKDOWN'!F17,"#,##0.00")&amp;" ➔ "&amp;TEXT('2_BOM_BREAKDOWN'!G17,"#,##0.00")&amp;" THB)",IF('2_BOM_BREAKDOWN'!G17&lt;'2_BOM_BREAKDOWN'!F17,"Unit Price Reduction ("&amp;TEXT('2_BOM_BREAKDOWN'!F17,"#,##0.00")&amp;" ➔ "&amp;TEXT('2_BOM_BREAKDOWN'!G17,"#,##0.00")&amp;" THB)",IF('2_BOM_BREAKDOWN'!I17&gt;'2_BOM_BREAKDOWN'!H17,"Loss % Increase ("&amp;TEXT('2_BOM_BREAKDOWN'!H17,"0.0%")&amp;" ➔ "&amp;TEXT('2_BOM_BREAKDOWN'!I17,"0.0%")&amp;")",IF('2_BOM_BREAKDOWN'!I17&lt;'2_BOM_BREAKDOWN'!H17,"Loss % Reduction ("&amp;TEXT('2_BOM_BREAKDOWN'!H17,"0.0%")&amp;" ➔ "&amp;TEXT('2_BOM_BREAKDOWN'!I17,"0.0%")&amp;")",""))))),"")</f>
        <v/>
      </c>
      <c r="E16" s="14" t="str">
        <f>IFERROR(IF(OR('2_BOM_BREAKDOWN'!C17="",""),"",IF('2_BOM_BREAKDOWN'!G17&lt;&gt;'2_BOM_BREAKDOWN'!F17,'2_BOM_BREAKDOWN'!F17,IF('2_BOM_BREAKDOWN'!I17&lt;&gt;'2_BOM_BREAKDOWN'!H17,'2_BOM_BREAKDOWN'!H17,""))),"")</f>
        <v/>
      </c>
      <c r="F16" s="14" t="str">
        <f>IFERROR(IF(OR('2_BOM_BREAKDOWN'!C17="",""),"",IF('2_BOM_BREAKDOWN'!G17&lt;&gt;'2_BOM_BREAKDOWN'!F17,'2_BOM_BREAKDOWN'!G17,IF('2_BOM_BREAKDOWN'!I17&lt;&gt;'2_BOM_BREAKDOWN'!H17,'2_BOM_BREAKDOWN'!I17,""))),"")</f>
        <v/>
      </c>
      <c r="G16" s="15" t="str">
        <f>IFERROR(IF(OR('2_BOM_BREAKDOWN'!C17="",'2_BOM_BREAKDOWN'!H36=""),"",'2_BOM_BREAKDOWN'!H36),"")</f>
        <v/>
      </c>
      <c r="H16" s="16" t="str">
        <f t="shared" si="0"/>
        <v/>
      </c>
    </row>
    <row r="17" spans="1:8" x14ac:dyDescent="0.25">
      <c r="A17" s="7">
        <v>14</v>
      </c>
      <c r="B17" s="7" t="str">
        <f>IFERROR(IF('2_BOM_BREAKDOWN'!C18="","","Direct Material"),"")</f>
        <v/>
      </c>
      <c r="C17" s="7" t="str">
        <f>IFERROR(IF('2_BOM_BREAKDOWN'!C18="","",'2_BOM_BREAKDOWN'!C18),"")</f>
        <v/>
      </c>
      <c r="D17" s="7" t="str">
        <f>IFERROR(IF(OR('2_BOM_BREAKDOWN'!C18="",""),"",IF('2_BOM_BREAKDOWN'!G18&gt;'2_BOM_BREAKDOWN'!F18,"Unit Price Inflation ("&amp;TEXT('2_BOM_BREAKDOWN'!F18,"#,##0.00")&amp;" ➔ "&amp;TEXT('2_BOM_BREAKDOWN'!G18,"#,##0.00")&amp;" THB)",IF('2_BOM_BREAKDOWN'!G18&lt;'2_BOM_BREAKDOWN'!F18,"Unit Price Reduction ("&amp;TEXT('2_BOM_BREAKDOWN'!F18,"#,##0.00")&amp;" ➔ "&amp;TEXT('2_BOM_BREAKDOWN'!G18,"#,##0.00")&amp;" THB)",IF('2_BOM_BREAKDOWN'!I18&gt;'2_BOM_BREAKDOWN'!H18,"Loss % Increase ("&amp;TEXT('2_BOM_BREAKDOWN'!H18,"0.0%")&amp;" ➔ "&amp;TEXT('2_BOM_BREAKDOWN'!I18,"0.0%")&amp;")",IF('2_BOM_BREAKDOWN'!I18&lt;'2_BOM_BREAKDOWN'!H18,"Loss % Reduction ("&amp;TEXT('2_BOM_BREAKDOWN'!H18,"0.0%")&amp;" ➔ "&amp;TEXT('2_BOM_BREAKDOWN'!I18,"0.0%")&amp;")",""))))),"")</f>
        <v/>
      </c>
      <c r="E17" s="14" t="str">
        <f>IFERROR(IF(OR('2_BOM_BREAKDOWN'!C18="",""),"",IF('2_BOM_BREAKDOWN'!G18&lt;&gt;'2_BOM_BREAKDOWN'!F18,'2_BOM_BREAKDOWN'!F18,IF('2_BOM_BREAKDOWN'!I18&lt;&gt;'2_BOM_BREAKDOWN'!H18,'2_BOM_BREAKDOWN'!H18,""))),"")</f>
        <v/>
      </c>
      <c r="F17" s="14" t="str">
        <f>IFERROR(IF(OR('2_BOM_BREAKDOWN'!C18="",""),"",IF('2_BOM_BREAKDOWN'!G18&lt;&gt;'2_BOM_BREAKDOWN'!F18,'2_BOM_BREAKDOWN'!G18,IF('2_BOM_BREAKDOWN'!I18&lt;&gt;'2_BOM_BREAKDOWN'!H18,'2_BOM_BREAKDOWN'!I18,""))),"")</f>
        <v/>
      </c>
      <c r="G17" s="15" t="str">
        <f>IFERROR(IF(OR('2_BOM_BREAKDOWN'!C18="",'2_BOM_BREAKDOWN'!H37=""),"",'2_BOM_BREAKDOWN'!H37),"")</f>
        <v/>
      </c>
      <c r="H17" s="16" t="str">
        <f t="shared" si="0"/>
        <v/>
      </c>
    </row>
    <row r="18" spans="1:8" x14ac:dyDescent="0.25">
      <c r="A18" s="7">
        <v>15</v>
      </c>
      <c r="B18" s="7" t="str">
        <f>IFERROR(IF('2_BOM_BREAKDOWN'!C19="","","Direct Material"),"")</f>
        <v/>
      </c>
      <c r="C18" s="7" t="str">
        <f>IFERROR(IF('2_BOM_BREAKDOWN'!C19="","",'2_BOM_BREAKDOWN'!C19),"")</f>
        <v/>
      </c>
      <c r="D18" s="7" t="str">
        <f>IFERROR(IF(OR('2_BOM_BREAKDOWN'!C19="",""),"",IF('2_BOM_BREAKDOWN'!G19&gt;'2_BOM_BREAKDOWN'!F19,"Unit Price Inflation ("&amp;TEXT('2_BOM_BREAKDOWN'!F19,"#,##0.00")&amp;" ➔ "&amp;TEXT('2_BOM_BREAKDOWN'!G19,"#,##0.00")&amp;" THB)",IF('2_BOM_BREAKDOWN'!G19&lt;'2_BOM_BREAKDOWN'!F19,"Unit Price Reduction ("&amp;TEXT('2_BOM_BREAKDOWN'!F19,"#,##0.00")&amp;" ➔ "&amp;TEXT('2_BOM_BREAKDOWN'!G19,"#,##0.00")&amp;" THB)",IF('2_BOM_BREAKDOWN'!I19&gt;'2_BOM_BREAKDOWN'!H19,"Loss % Increase ("&amp;TEXT('2_BOM_BREAKDOWN'!H19,"0.0%")&amp;" ➔ "&amp;TEXT('2_BOM_BREAKDOWN'!I19,"0.0%")&amp;")",IF('2_BOM_BREAKDOWN'!I19&lt;'2_BOM_BREAKDOWN'!H19,"Loss % Reduction ("&amp;TEXT('2_BOM_BREAKDOWN'!H19,"0.0%")&amp;" ➔ "&amp;TEXT('2_BOM_BREAKDOWN'!I19,"0.0%")&amp;")",""))))),"")</f>
        <v/>
      </c>
      <c r="E18" s="14" t="str">
        <f>IFERROR(IF(OR('2_BOM_BREAKDOWN'!C19="",""),"",IF('2_BOM_BREAKDOWN'!G19&lt;&gt;'2_BOM_BREAKDOWN'!F19,'2_BOM_BREAKDOWN'!F19,IF('2_BOM_BREAKDOWN'!I19&lt;&gt;'2_BOM_BREAKDOWN'!H19,'2_BOM_BREAKDOWN'!H19,""))),"")</f>
        <v/>
      </c>
      <c r="F18" s="14" t="str">
        <f>IFERROR(IF(OR('2_BOM_BREAKDOWN'!C19="",""),"",IF('2_BOM_BREAKDOWN'!G19&lt;&gt;'2_BOM_BREAKDOWN'!F19,'2_BOM_BREAKDOWN'!G19,IF('2_BOM_BREAKDOWN'!I19&lt;&gt;'2_BOM_BREAKDOWN'!H19,'2_BOM_BREAKDOWN'!I19,""))),"")</f>
        <v/>
      </c>
      <c r="G18" s="15" t="str">
        <f>IFERROR(IF(OR('2_BOM_BREAKDOWN'!C19="",'2_BOM_BREAKDOWN'!H38=""),"",'2_BOM_BREAKDOWN'!H38),"")</f>
        <v/>
      </c>
      <c r="H18" s="16" t="str">
        <f t="shared" si="0"/>
        <v/>
      </c>
    </row>
    <row r="19" spans="1:8" x14ac:dyDescent="0.25">
      <c r="A19" s="7">
        <v>16</v>
      </c>
      <c r="B19" s="7" t="str">
        <f>IFERROR(IF('2_BOM_BREAKDOWN'!C20="","","Direct Material"),"")</f>
        <v/>
      </c>
      <c r="C19" s="7" t="str">
        <f>IFERROR(IF('2_BOM_BREAKDOWN'!C20="","",'2_BOM_BREAKDOWN'!C20),"")</f>
        <v/>
      </c>
      <c r="D19" s="7" t="str">
        <f>IFERROR(IF(OR('2_BOM_BREAKDOWN'!C20="",""),"",IF('2_BOM_BREAKDOWN'!G20&gt;'2_BOM_BREAKDOWN'!F20,"Unit Price Inflation ("&amp;TEXT('2_BOM_BREAKDOWN'!F20,"#,##0.00")&amp;" ➔ "&amp;TEXT('2_BOM_BREAKDOWN'!G20,"#,##0.00")&amp;" THB)",IF('2_BOM_BREAKDOWN'!G20&lt;'2_BOM_BREAKDOWN'!F20,"Unit Price Reduction ("&amp;TEXT('2_BOM_BREAKDOWN'!F20,"#,##0.00")&amp;" ➔ "&amp;TEXT('2_BOM_BREAKDOWN'!G20,"#,##0.00")&amp;" THB)",IF('2_BOM_BREAKDOWN'!I20&gt;'2_BOM_BREAKDOWN'!H20,"Loss % Increase ("&amp;TEXT('2_BOM_BREAKDOWN'!H20,"0.0%")&amp;" ➔ "&amp;TEXT('2_BOM_BREAKDOWN'!I20,"0.0%")&amp;")",IF('2_BOM_BREAKDOWN'!I20&lt;'2_BOM_BREAKDOWN'!H20,"Loss % Reduction ("&amp;TEXT('2_BOM_BREAKDOWN'!H20,"0.0%")&amp;" ➔ "&amp;TEXT('2_BOM_BREAKDOWN'!I20,"0.0%")&amp;")",""))))),"")</f>
        <v/>
      </c>
      <c r="E19" s="14" t="str">
        <f>IFERROR(IF(OR('2_BOM_BREAKDOWN'!C20="",""),"",IF('2_BOM_BREAKDOWN'!G20&lt;&gt;'2_BOM_BREAKDOWN'!F20,'2_BOM_BREAKDOWN'!F20,IF('2_BOM_BREAKDOWN'!I20&lt;&gt;'2_BOM_BREAKDOWN'!H20,'2_BOM_BREAKDOWN'!H20,""))),"")</f>
        <v/>
      </c>
      <c r="F19" s="14" t="str">
        <f>IFERROR(IF(OR('2_BOM_BREAKDOWN'!C20="",""),"",IF('2_BOM_BREAKDOWN'!G20&lt;&gt;'2_BOM_BREAKDOWN'!F20,'2_BOM_BREAKDOWN'!G20,IF('2_BOM_BREAKDOWN'!I20&lt;&gt;'2_BOM_BREAKDOWN'!H20,'2_BOM_BREAKDOWN'!I20,""))),"")</f>
        <v/>
      </c>
      <c r="G19" s="15" t="str">
        <f>IFERROR(IF(OR('2_BOM_BREAKDOWN'!C20="",'2_BOM_BREAKDOWN'!H39=""),"",'2_BOM_BREAKDOWN'!H39),"")</f>
        <v/>
      </c>
      <c r="H19" s="16" t="str">
        <f t="shared" si="0"/>
        <v/>
      </c>
    </row>
    <row r="20" spans="1:8" x14ac:dyDescent="0.25">
      <c r="A20" s="7">
        <v>17</v>
      </c>
      <c r="B20" s="7" t="str">
        <f>IFERROR(IF('3_ROUTING_BREAKDOWN'!B5="","",'3_ROUTING_BREAKDOWN'!B5),"")</f>
        <v/>
      </c>
      <c r="C20" s="7" t="str">
        <f>IFERROR(IF('3_ROUTING_BREAKDOWN'!C5="","",'3_ROUTING_BREAKDOWN'!C5),"")</f>
        <v/>
      </c>
      <c r="D20" s="7" t="str">
        <f>IFERROR(IF(OR('3_ROUTING_BREAKDOWN'!C5="",""),"",IF('3_ROUTING_BREAKDOWN'!I5&lt;'3_ROUTING_BREAKDOWN'!H5,"Yield Drop ("&amp;TEXT('3_ROUTING_BREAKDOWN'!H5,"0.0%")&amp;" ➔ "&amp;TEXT('3_ROUTING_BREAKDOWN'!I5,"0.0%")&amp;")",IF('3_ROUTING_BREAKDOWN'!I5&gt;'3_ROUTING_BREAKDOWN'!H5,"Yield Improvement ("&amp;TEXT('3_ROUTING_BREAKDOWN'!H5,"0.0%")&amp;" ➔ "&amp;TEXT('3_ROUTING_BREAKDOWN'!I5,"0.0%")&amp;")",IF('3_ROUTING_BREAKDOWN'!G5&lt;'3_ROUTING_BREAKDOWN'!F5,"Capacity Drop ("&amp;TEXT('3_ROUTING_BREAKDOWN'!F5,"#,##0")&amp;" ➔ "&amp;TEXT('3_ROUTING_BREAKDOWN'!G5,"#,##0")&amp;" Unit/hr)",IF('3_ROUTING_BREAKDOWN'!G5&gt;'3_ROUTING_BREAKDOWN'!F5,"Capacity Improvement ("&amp;TEXT('3_ROUTING_BREAKDOWN'!F5,"#,##0")&amp;" ➔ "&amp;TEXT('3_ROUTING_BREAKDOWN'!G5,"#,##0")&amp;" Unit/hr)",""))))),"")</f>
        <v/>
      </c>
      <c r="E20" s="14" t="str">
        <f>IFERROR(IF(OR('3_ROUTING_BREAKDOWN'!C5="",""),"",IF('3_ROUTING_BREAKDOWN'!I5&lt;&gt;'3_ROUTING_BREAKDOWN'!H5,'3_ROUTING_BREAKDOWN'!H5,IF('3_ROUTING_BREAKDOWN'!G5&lt;&gt;'3_ROUTING_BREAKDOWN'!F5,'3_ROUTING_BREAKDOWN'!F5,""))),"")</f>
        <v/>
      </c>
      <c r="F20" s="14" t="str">
        <f>IFERROR(IF(OR('3_ROUTING_BREAKDOWN'!C5="",""),"",IF('3_ROUTING_BREAKDOWN'!I5&lt;&gt;'3_ROUTING_BREAKDOWN'!H5,'3_ROUTING_BREAKDOWN'!I5,IF('3_ROUTING_BREAKDOWN'!G5&lt;&gt;'3_ROUTING_BREAKDOWN'!F5,'3_ROUTING_BREAKDOWN'!G5,""))),"")</f>
        <v/>
      </c>
      <c r="G20" s="15" t="str">
        <f>IFERROR(IF(OR('3_ROUTING_BREAKDOWN'!C5="",'3_ROUTING_BREAKDOWN'!P47=""),"",'3_ROUTING_BREAKDOWN'!P47),"")</f>
        <v/>
      </c>
      <c r="H20" s="16" t="str">
        <f t="shared" si="0"/>
        <v/>
      </c>
    </row>
    <row r="21" spans="1:8" x14ac:dyDescent="0.25">
      <c r="A21" s="7">
        <v>18</v>
      </c>
      <c r="B21" s="7" t="str">
        <f>IFERROR(IF('3_ROUTING_BREAKDOWN'!B6="","",'3_ROUTING_BREAKDOWN'!B6),"")</f>
        <v/>
      </c>
      <c r="C21" s="7" t="str">
        <f>IFERROR(IF('3_ROUTING_BREAKDOWN'!C6="","",'3_ROUTING_BREAKDOWN'!C6),"")</f>
        <v/>
      </c>
      <c r="D21" s="7" t="str">
        <f>IFERROR(IF(OR('3_ROUTING_BREAKDOWN'!C6="",""),"",IF('3_ROUTING_BREAKDOWN'!I6&lt;'3_ROUTING_BREAKDOWN'!H6,"Yield Drop ("&amp;TEXT('3_ROUTING_BREAKDOWN'!H6,"0.0%")&amp;" ➔ "&amp;TEXT('3_ROUTING_BREAKDOWN'!I6,"0.0%")&amp;")",IF('3_ROUTING_BREAKDOWN'!I6&gt;'3_ROUTING_BREAKDOWN'!H6,"Yield Improvement ("&amp;TEXT('3_ROUTING_BREAKDOWN'!H6,"0.0%")&amp;" ➔ "&amp;TEXT('3_ROUTING_BREAKDOWN'!I6,"0.0%")&amp;")",IF('3_ROUTING_BREAKDOWN'!G6&lt;'3_ROUTING_BREAKDOWN'!F6,"Capacity Drop ("&amp;TEXT('3_ROUTING_BREAKDOWN'!F6,"#,##0")&amp;" ➔ "&amp;TEXT('3_ROUTING_BREAKDOWN'!G6,"#,##0")&amp;" Unit/hr)",IF('3_ROUTING_BREAKDOWN'!G6&gt;'3_ROUTING_BREAKDOWN'!F6,"Capacity Improvement ("&amp;TEXT('3_ROUTING_BREAKDOWN'!F6,"#,##0")&amp;" ➔ "&amp;TEXT('3_ROUTING_BREAKDOWN'!G6,"#,##0")&amp;" Unit/hr)",""))))),"")</f>
        <v/>
      </c>
      <c r="E21" s="14" t="str">
        <f>IFERROR(IF(OR('3_ROUTING_BREAKDOWN'!C6="",""),"",IF('3_ROUTING_BREAKDOWN'!I6&lt;&gt;'3_ROUTING_BREAKDOWN'!H6,'3_ROUTING_BREAKDOWN'!H6,IF('3_ROUTING_BREAKDOWN'!G6&lt;&gt;'3_ROUTING_BREAKDOWN'!F6,'3_ROUTING_BREAKDOWN'!F6,""))),"")</f>
        <v/>
      </c>
      <c r="F21" s="14" t="str">
        <f>IFERROR(IF(OR('3_ROUTING_BREAKDOWN'!C6="",""),"",IF('3_ROUTING_BREAKDOWN'!I6&lt;&gt;'3_ROUTING_BREAKDOWN'!H6,'3_ROUTING_BREAKDOWN'!I6,IF('3_ROUTING_BREAKDOWN'!G6&lt;&gt;'3_ROUTING_BREAKDOWN'!F6,'3_ROUTING_BREAKDOWN'!G6,""))),"")</f>
        <v/>
      </c>
      <c r="G21" s="15" t="str">
        <f>IFERROR(IF(OR('3_ROUTING_BREAKDOWN'!C6="",'3_ROUTING_BREAKDOWN'!P48=""),"",'3_ROUTING_BREAKDOWN'!P48),"")</f>
        <v/>
      </c>
      <c r="H21" s="16" t="str">
        <f t="shared" si="0"/>
        <v/>
      </c>
    </row>
    <row r="22" spans="1:8" x14ac:dyDescent="0.25">
      <c r="A22" s="7">
        <v>19</v>
      </c>
      <c r="B22" s="7" t="str">
        <f>IFERROR(IF('3_ROUTING_BREAKDOWN'!B7="","",'3_ROUTING_BREAKDOWN'!B7),"")</f>
        <v/>
      </c>
      <c r="C22" s="7" t="str">
        <f>IFERROR(IF('3_ROUTING_BREAKDOWN'!C7="","",'3_ROUTING_BREAKDOWN'!C7),"")</f>
        <v/>
      </c>
      <c r="D22" s="7" t="str">
        <f>IFERROR(IF(OR('3_ROUTING_BREAKDOWN'!C7="",""),"",IF('3_ROUTING_BREAKDOWN'!I7&lt;'3_ROUTING_BREAKDOWN'!H7,"Yield Drop ("&amp;TEXT('3_ROUTING_BREAKDOWN'!H7,"0.0%")&amp;" ➔ "&amp;TEXT('3_ROUTING_BREAKDOWN'!I7,"0.0%")&amp;")",IF('3_ROUTING_BREAKDOWN'!I7&gt;'3_ROUTING_BREAKDOWN'!H7,"Yield Improvement ("&amp;TEXT('3_ROUTING_BREAKDOWN'!H7,"0.0%")&amp;" ➔ "&amp;TEXT('3_ROUTING_BREAKDOWN'!I7,"0.0%")&amp;")",IF('3_ROUTING_BREAKDOWN'!G7&lt;'3_ROUTING_BREAKDOWN'!F7,"Capacity Drop ("&amp;TEXT('3_ROUTING_BREAKDOWN'!F7,"#,##0")&amp;" ➔ "&amp;TEXT('3_ROUTING_BREAKDOWN'!G7,"#,##0")&amp;" Unit/hr)",IF('3_ROUTING_BREAKDOWN'!G7&gt;'3_ROUTING_BREAKDOWN'!F7,"Capacity Improvement ("&amp;TEXT('3_ROUTING_BREAKDOWN'!F7,"#,##0")&amp;" ➔ "&amp;TEXT('3_ROUTING_BREAKDOWN'!G7,"#,##0")&amp;" Unit/hr)",""))))),"")</f>
        <v/>
      </c>
      <c r="E22" s="14" t="str">
        <f>IFERROR(IF(OR('3_ROUTING_BREAKDOWN'!C7="",""),"",IF('3_ROUTING_BREAKDOWN'!I7&lt;&gt;'3_ROUTING_BREAKDOWN'!H7,'3_ROUTING_BREAKDOWN'!H7,IF('3_ROUTING_BREAKDOWN'!G7&lt;&gt;'3_ROUTING_BREAKDOWN'!F7,'3_ROUTING_BREAKDOWN'!F7,""))),"")</f>
        <v/>
      </c>
      <c r="F22" s="14" t="str">
        <f>IFERROR(IF(OR('3_ROUTING_BREAKDOWN'!C7="",""),"",IF('3_ROUTING_BREAKDOWN'!I7&lt;&gt;'3_ROUTING_BREAKDOWN'!H7,'3_ROUTING_BREAKDOWN'!I7,IF('3_ROUTING_BREAKDOWN'!G7&lt;&gt;'3_ROUTING_BREAKDOWN'!F7,'3_ROUTING_BREAKDOWN'!G7,""))),"")</f>
        <v/>
      </c>
      <c r="G22" s="15" t="str">
        <f>IFERROR(IF(OR('3_ROUTING_BREAKDOWN'!C7="",'3_ROUTING_BREAKDOWN'!P49=""),"",'3_ROUTING_BREAKDOWN'!P49),"")</f>
        <v/>
      </c>
      <c r="H22" s="16" t="str">
        <f t="shared" si="0"/>
        <v/>
      </c>
    </row>
    <row r="23" spans="1:8" x14ac:dyDescent="0.25">
      <c r="A23" s="7">
        <v>20</v>
      </c>
      <c r="B23" s="7" t="str">
        <f>IFERROR(IF('3_ROUTING_BREAKDOWN'!B8="","",'3_ROUTING_BREAKDOWN'!B8),"")</f>
        <v/>
      </c>
      <c r="C23" s="7" t="str">
        <f>IFERROR(IF('3_ROUTING_BREAKDOWN'!C8="","",'3_ROUTING_BREAKDOWN'!C8),"")</f>
        <v/>
      </c>
      <c r="D23" s="7" t="str">
        <f>IFERROR(IF(OR('3_ROUTING_BREAKDOWN'!C8="",""),"",IF('3_ROUTING_BREAKDOWN'!I8&lt;'3_ROUTING_BREAKDOWN'!H8,"Yield Drop ("&amp;TEXT('3_ROUTING_BREAKDOWN'!H8,"0.0%")&amp;" ➔ "&amp;TEXT('3_ROUTING_BREAKDOWN'!I8,"0.0%")&amp;")",IF('3_ROUTING_BREAKDOWN'!I8&gt;'3_ROUTING_BREAKDOWN'!H8,"Yield Improvement ("&amp;TEXT('3_ROUTING_BREAKDOWN'!H8,"0.0%")&amp;" ➔ "&amp;TEXT('3_ROUTING_BREAKDOWN'!I8,"0.0%")&amp;")",IF('3_ROUTING_BREAKDOWN'!G8&lt;'3_ROUTING_BREAKDOWN'!F8,"Capacity Drop ("&amp;TEXT('3_ROUTING_BREAKDOWN'!F8,"#,##0")&amp;" ➔ "&amp;TEXT('3_ROUTING_BREAKDOWN'!G8,"#,##0")&amp;" Unit/hr)",IF('3_ROUTING_BREAKDOWN'!G8&gt;'3_ROUTING_BREAKDOWN'!F8,"Capacity Improvement ("&amp;TEXT('3_ROUTING_BREAKDOWN'!F8,"#,##0")&amp;" ➔ "&amp;TEXT('3_ROUTING_BREAKDOWN'!G8,"#,##0")&amp;" Unit/hr)",""))))),"")</f>
        <v/>
      </c>
      <c r="E23" s="14" t="str">
        <f>IFERROR(IF(OR('3_ROUTING_BREAKDOWN'!C8="",""),"",IF('3_ROUTING_BREAKDOWN'!I8&lt;&gt;'3_ROUTING_BREAKDOWN'!H8,'3_ROUTING_BREAKDOWN'!H8,IF('3_ROUTING_BREAKDOWN'!G8&lt;&gt;'3_ROUTING_BREAKDOWN'!F8,'3_ROUTING_BREAKDOWN'!F8,""))),"")</f>
        <v/>
      </c>
      <c r="F23" s="14" t="str">
        <f>IFERROR(IF(OR('3_ROUTING_BREAKDOWN'!C8="",""),"",IF('3_ROUTING_BREAKDOWN'!I8&lt;&gt;'3_ROUTING_BREAKDOWN'!H8,'3_ROUTING_BREAKDOWN'!I8,IF('3_ROUTING_BREAKDOWN'!G8&lt;&gt;'3_ROUTING_BREAKDOWN'!F8,'3_ROUTING_BREAKDOWN'!G8,""))),"")</f>
        <v/>
      </c>
      <c r="G23" s="15" t="str">
        <f>IFERROR(IF(OR('3_ROUTING_BREAKDOWN'!C8="",'3_ROUTING_BREAKDOWN'!P50=""),"",'3_ROUTING_BREAKDOWN'!P50),"")</f>
        <v/>
      </c>
      <c r="H23" s="16" t="str">
        <f t="shared" si="0"/>
        <v/>
      </c>
    </row>
    <row r="24" spans="1:8" x14ac:dyDescent="0.25">
      <c r="A24" s="7">
        <v>21</v>
      </c>
      <c r="B24" s="7" t="str">
        <f>IFERROR(IF('3_ROUTING_BREAKDOWN'!B9="","",'3_ROUTING_BREAKDOWN'!B9),"")</f>
        <v/>
      </c>
      <c r="C24" s="7" t="str">
        <f>IFERROR(IF('3_ROUTING_BREAKDOWN'!C9="","",'3_ROUTING_BREAKDOWN'!C9),"")</f>
        <v/>
      </c>
      <c r="D24" s="7" t="str">
        <f>IFERROR(IF(OR('3_ROUTING_BREAKDOWN'!C9="",""),"",IF('3_ROUTING_BREAKDOWN'!I9&lt;'3_ROUTING_BREAKDOWN'!H9,"Yield Drop ("&amp;TEXT('3_ROUTING_BREAKDOWN'!H9,"0.0%")&amp;" ➔ "&amp;TEXT('3_ROUTING_BREAKDOWN'!I9,"0.0%")&amp;")",IF('3_ROUTING_BREAKDOWN'!I9&gt;'3_ROUTING_BREAKDOWN'!H9,"Yield Improvement ("&amp;TEXT('3_ROUTING_BREAKDOWN'!H9,"0.0%")&amp;" ➔ "&amp;TEXT('3_ROUTING_BREAKDOWN'!I9,"0.0%")&amp;")",IF('3_ROUTING_BREAKDOWN'!G9&lt;'3_ROUTING_BREAKDOWN'!F9,"Capacity Drop ("&amp;TEXT('3_ROUTING_BREAKDOWN'!F9,"#,##0")&amp;" ➔ "&amp;TEXT('3_ROUTING_BREAKDOWN'!G9,"#,##0")&amp;" Unit/hr)",IF('3_ROUTING_BREAKDOWN'!G9&gt;'3_ROUTING_BREAKDOWN'!F9,"Capacity Improvement ("&amp;TEXT('3_ROUTING_BREAKDOWN'!F9,"#,##0")&amp;" ➔ "&amp;TEXT('3_ROUTING_BREAKDOWN'!G9,"#,##0")&amp;" Unit/hr)",""))))),"")</f>
        <v/>
      </c>
      <c r="E24" s="14" t="str">
        <f>IFERROR(IF(OR('3_ROUTING_BREAKDOWN'!C9="",""),"",IF('3_ROUTING_BREAKDOWN'!I9&lt;&gt;'3_ROUTING_BREAKDOWN'!H9,'3_ROUTING_BREAKDOWN'!H9,IF('3_ROUTING_BREAKDOWN'!G9&lt;&gt;'3_ROUTING_BREAKDOWN'!F9,'3_ROUTING_BREAKDOWN'!F9,""))),"")</f>
        <v/>
      </c>
      <c r="F24" s="14" t="str">
        <f>IFERROR(IF(OR('3_ROUTING_BREAKDOWN'!C9="",""),"",IF('3_ROUTING_BREAKDOWN'!I9&lt;&gt;'3_ROUTING_BREAKDOWN'!H9,'3_ROUTING_BREAKDOWN'!I9,IF('3_ROUTING_BREAKDOWN'!G9&lt;&gt;'3_ROUTING_BREAKDOWN'!F9,'3_ROUTING_BREAKDOWN'!G9,""))),"")</f>
        <v/>
      </c>
      <c r="G24" s="15" t="str">
        <f>IFERROR(IF(OR('3_ROUTING_BREAKDOWN'!C9="",'3_ROUTING_BREAKDOWN'!P51=""),"",'3_ROUTING_BREAKDOWN'!P51),"")</f>
        <v/>
      </c>
      <c r="H24" s="16" t="str">
        <f t="shared" si="0"/>
        <v/>
      </c>
    </row>
    <row r="25" spans="1:8" x14ac:dyDescent="0.25">
      <c r="A25" s="7">
        <v>22</v>
      </c>
      <c r="B25" s="7" t="str">
        <f>IFERROR(IF('3_ROUTING_BREAKDOWN'!B10="","",'3_ROUTING_BREAKDOWN'!B10),"")</f>
        <v/>
      </c>
      <c r="C25" s="7" t="str">
        <f>IFERROR(IF('3_ROUTING_BREAKDOWN'!C10="","",'3_ROUTING_BREAKDOWN'!C10),"")</f>
        <v/>
      </c>
      <c r="D25" s="7" t="str">
        <f>IFERROR(IF(OR('3_ROUTING_BREAKDOWN'!C10="",""),"",IF('3_ROUTING_BREAKDOWN'!I10&lt;'3_ROUTING_BREAKDOWN'!H10,"Yield Drop ("&amp;TEXT('3_ROUTING_BREAKDOWN'!H10,"0.0%")&amp;" ➔ "&amp;TEXT('3_ROUTING_BREAKDOWN'!I10,"0.0%")&amp;")",IF('3_ROUTING_BREAKDOWN'!I10&gt;'3_ROUTING_BREAKDOWN'!H10,"Yield Improvement ("&amp;TEXT('3_ROUTING_BREAKDOWN'!H10,"0.0%")&amp;" ➔ "&amp;TEXT('3_ROUTING_BREAKDOWN'!I10,"0.0%")&amp;")",IF('3_ROUTING_BREAKDOWN'!G10&lt;'3_ROUTING_BREAKDOWN'!F10,"Capacity Drop ("&amp;TEXT('3_ROUTING_BREAKDOWN'!F10,"#,##0")&amp;" ➔ "&amp;TEXT('3_ROUTING_BREAKDOWN'!G10,"#,##0")&amp;" Unit/hr)",IF('3_ROUTING_BREAKDOWN'!G10&gt;'3_ROUTING_BREAKDOWN'!F10,"Capacity Improvement ("&amp;TEXT('3_ROUTING_BREAKDOWN'!F10,"#,##0")&amp;" ➔ "&amp;TEXT('3_ROUTING_BREAKDOWN'!G10,"#,##0")&amp;" Unit/hr)",""))))),"")</f>
        <v/>
      </c>
      <c r="E25" s="14" t="str">
        <f>IFERROR(IF(OR('3_ROUTING_BREAKDOWN'!C10="",""),"",IF('3_ROUTING_BREAKDOWN'!I10&lt;&gt;'3_ROUTING_BREAKDOWN'!H10,'3_ROUTING_BREAKDOWN'!H10,IF('3_ROUTING_BREAKDOWN'!G10&lt;&gt;'3_ROUTING_BREAKDOWN'!F10,'3_ROUTING_BREAKDOWN'!F10,""))),"")</f>
        <v/>
      </c>
      <c r="F25" s="14" t="str">
        <f>IFERROR(IF(OR('3_ROUTING_BREAKDOWN'!C10="",""),"",IF('3_ROUTING_BREAKDOWN'!I10&lt;&gt;'3_ROUTING_BREAKDOWN'!H10,'3_ROUTING_BREAKDOWN'!I10,IF('3_ROUTING_BREAKDOWN'!G10&lt;&gt;'3_ROUTING_BREAKDOWN'!F10,'3_ROUTING_BREAKDOWN'!G10,""))),"")</f>
        <v/>
      </c>
      <c r="G25" s="15" t="str">
        <f>IFERROR(IF(OR('3_ROUTING_BREAKDOWN'!C10="",'3_ROUTING_BREAKDOWN'!P52=""),"",'3_ROUTING_BREAKDOWN'!P52),"")</f>
        <v/>
      </c>
      <c r="H25" s="16" t="str">
        <f t="shared" si="0"/>
        <v/>
      </c>
    </row>
    <row r="26" spans="1:8" x14ac:dyDescent="0.25">
      <c r="A26" s="7">
        <v>23</v>
      </c>
      <c r="B26" s="7" t="str">
        <f>IFERROR(IF('3_ROUTING_BREAKDOWN'!B11="","",'3_ROUTING_BREAKDOWN'!B11),"")</f>
        <v/>
      </c>
      <c r="C26" s="7" t="str">
        <f>IFERROR(IF('3_ROUTING_BREAKDOWN'!C11="","",'3_ROUTING_BREAKDOWN'!C11),"")</f>
        <v/>
      </c>
      <c r="D26" s="7" t="str">
        <f>IFERROR(IF(OR('3_ROUTING_BREAKDOWN'!C11="",""),"",IF('3_ROUTING_BREAKDOWN'!I11&lt;'3_ROUTING_BREAKDOWN'!H11,"Yield Drop ("&amp;TEXT('3_ROUTING_BREAKDOWN'!H11,"0.0%")&amp;" ➔ "&amp;TEXT('3_ROUTING_BREAKDOWN'!I11,"0.0%")&amp;")",IF('3_ROUTING_BREAKDOWN'!I11&gt;'3_ROUTING_BREAKDOWN'!H11,"Yield Improvement ("&amp;TEXT('3_ROUTING_BREAKDOWN'!H11,"0.0%")&amp;" ➔ "&amp;TEXT('3_ROUTING_BREAKDOWN'!I11,"0.0%")&amp;")",IF('3_ROUTING_BREAKDOWN'!G11&lt;'3_ROUTING_BREAKDOWN'!F11,"Capacity Drop ("&amp;TEXT('3_ROUTING_BREAKDOWN'!F11,"#,##0")&amp;" ➔ "&amp;TEXT('3_ROUTING_BREAKDOWN'!G11,"#,##0")&amp;" Unit/hr)",IF('3_ROUTING_BREAKDOWN'!G11&gt;'3_ROUTING_BREAKDOWN'!F11,"Capacity Improvement ("&amp;TEXT('3_ROUTING_BREAKDOWN'!F11,"#,##0")&amp;" ➔ "&amp;TEXT('3_ROUTING_BREAKDOWN'!G11,"#,##0")&amp;" Unit/hr)",""))))),"")</f>
        <v/>
      </c>
      <c r="E26" s="14" t="str">
        <f>IFERROR(IF(OR('3_ROUTING_BREAKDOWN'!C11="",""),"",IF('3_ROUTING_BREAKDOWN'!I11&lt;&gt;'3_ROUTING_BREAKDOWN'!H11,'3_ROUTING_BREAKDOWN'!H11,IF('3_ROUTING_BREAKDOWN'!G11&lt;&gt;'3_ROUTING_BREAKDOWN'!F11,'3_ROUTING_BREAKDOWN'!F11,""))),"")</f>
        <v/>
      </c>
      <c r="F26" s="14" t="str">
        <f>IFERROR(IF(OR('3_ROUTING_BREAKDOWN'!C11="",""),"",IF('3_ROUTING_BREAKDOWN'!I11&lt;&gt;'3_ROUTING_BREAKDOWN'!H11,'3_ROUTING_BREAKDOWN'!I11,IF('3_ROUTING_BREAKDOWN'!G11&lt;&gt;'3_ROUTING_BREAKDOWN'!F11,'3_ROUTING_BREAKDOWN'!G11,""))),"")</f>
        <v/>
      </c>
      <c r="G26" s="15" t="str">
        <f>IFERROR(IF(OR('3_ROUTING_BREAKDOWN'!C11="",'3_ROUTING_BREAKDOWN'!P53=""),"",'3_ROUTING_BREAKDOWN'!P53),"")</f>
        <v/>
      </c>
      <c r="H26" s="16" t="str">
        <f t="shared" si="0"/>
        <v/>
      </c>
    </row>
    <row r="27" spans="1:8" x14ac:dyDescent="0.25">
      <c r="A27" s="7">
        <v>24</v>
      </c>
      <c r="B27" s="7" t="str">
        <f>IFERROR(IF('3_ROUTING_BREAKDOWN'!B12="","",'3_ROUTING_BREAKDOWN'!B12),"")</f>
        <v/>
      </c>
      <c r="C27" s="7" t="str">
        <f>IFERROR(IF('3_ROUTING_BREAKDOWN'!C12="","",'3_ROUTING_BREAKDOWN'!C12),"")</f>
        <v/>
      </c>
      <c r="D27" s="7" t="str">
        <f>IFERROR(IF(OR('3_ROUTING_BREAKDOWN'!C12="",""),"",IF('3_ROUTING_BREAKDOWN'!I12&lt;'3_ROUTING_BREAKDOWN'!H12,"Yield Drop ("&amp;TEXT('3_ROUTING_BREAKDOWN'!H12,"0.0%")&amp;" ➔ "&amp;TEXT('3_ROUTING_BREAKDOWN'!I12,"0.0%")&amp;")",IF('3_ROUTING_BREAKDOWN'!I12&gt;'3_ROUTING_BREAKDOWN'!H12,"Yield Improvement ("&amp;TEXT('3_ROUTING_BREAKDOWN'!H12,"0.0%")&amp;" ➔ "&amp;TEXT('3_ROUTING_BREAKDOWN'!I12,"0.0%")&amp;")",IF('3_ROUTING_BREAKDOWN'!G12&lt;'3_ROUTING_BREAKDOWN'!F12,"Capacity Drop ("&amp;TEXT('3_ROUTING_BREAKDOWN'!F12,"#,##0")&amp;" ➔ "&amp;TEXT('3_ROUTING_BREAKDOWN'!G12,"#,##0")&amp;" Unit/hr)",IF('3_ROUTING_BREAKDOWN'!G12&gt;'3_ROUTING_BREAKDOWN'!F12,"Capacity Improvement ("&amp;TEXT('3_ROUTING_BREAKDOWN'!F12,"#,##0")&amp;" ➔ "&amp;TEXT('3_ROUTING_BREAKDOWN'!G12,"#,##0")&amp;" Unit/hr)",""))))),"")</f>
        <v/>
      </c>
      <c r="E27" s="14" t="str">
        <f>IFERROR(IF(OR('3_ROUTING_BREAKDOWN'!C12="",""),"",IF('3_ROUTING_BREAKDOWN'!I12&lt;&gt;'3_ROUTING_BREAKDOWN'!H12,'3_ROUTING_BREAKDOWN'!H12,IF('3_ROUTING_BREAKDOWN'!G12&lt;&gt;'3_ROUTING_BREAKDOWN'!F12,'3_ROUTING_BREAKDOWN'!F12,""))),"")</f>
        <v/>
      </c>
      <c r="F27" s="14" t="str">
        <f>IFERROR(IF(OR('3_ROUTING_BREAKDOWN'!C12="",""),"",IF('3_ROUTING_BREAKDOWN'!I12&lt;&gt;'3_ROUTING_BREAKDOWN'!H12,'3_ROUTING_BREAKDOWN'!I12,IF('3_ROUTING_BREAKDOWN'!G12&lt;&gt;'3_ROUTING_BREAKDOWN'!F12,'3_ROUTING_BREAKDOWN'!G12,""))),"")</f>
        <v/>
      </c>
      <c r="G27" s="15" t="str">
        <f>IFERROR(IF(OR('3_ROUTING_BREAKDOWN'!C12="",'3_ROUTING_BREAKDOWN'!P54=""),"",'3_ROUTING_BREAKDOWN'!P54),"")</f>
        <v/>
      </c>
      <c r="H27" s="16" t="str">
        <f t="shared" si="0"/>
        <v/>
      </c>
    </row>
    <row r="28" spans="1:8" x14ac:dyDescent="0.25">
      <c r="A28" s="7">
        <v>25</v>
      </c>
      <c r="B28" s="7" t="str">
        <f>IFERROR(IF('3_ROUTING_BREAKDOWN'!B13="","",'3_ROUTING_BREAKDOWN'!B13),"")</f>
        <v/>
      </c>
      <c r="C28" s="7" t="str">
        <f>IFERROR(IF('3_ROUTING_BREAKDOWN'!C13="","",'3_ROUTING_BREAKDOWN'!C13),"")</f>
        <v/>
      </c>
      <c r="D28" s="7" t="str">
        <f>IFERROR(IF(OR('3_ROUTING_BREAKDOWN'!C13="",""),"",IF('3_ROUTING_BREAKDOWN'!I13&lt;'3_ROUTING_BREAKDOWN'!H13,"Yield Drop ("&amp;TEXT('3_ROUTING_BREAKDOWN'!H13,"0.0%")&amp;" ➔ "&amp;TEXT('3_ROUTING_BREAKDOWN'!I13,"0.0%")&amp;")",IF('3_ROUTING_BREAKDOWN'!I13&gt;'3_ROUTING_BREAKDOWN'!H13,"Yield Improvement ("&amp;TEXT('3_ROUTING_BREAKDOWN'!H13,"0.0%")&amp;" ➔ "&amp;TEXT('3_ROUTING_BREAKDOWN'!I13,"0.0%")&amp;")",IF('3_ROUTING_BREAKDOWN'!G13&lt;'3_ROUTING_BREAKDOWN'!F13,"Capacity Drop ("&amp;TEXT('3_ROUTING_BREAKDOWN'!F13,"#,##0")&amp;" ➔ "&amp;TEXT('3_ROUTING_BREAKDOWN'!G13,"#,##0")&amp;" Unit/hr)",IF('3_ROUTING_BREAKDOWN'!G13&gt;'3_ROUTING_BREAKDOWN'!F13,"Capacity Improvement ("&amp;TEXT('3_ROUTING_BREAKDOWN'!F13,"#,##0")&amp;" ➔ "&amp;TEXT('3_ROUTING_BREAKDOWN'!G13,"#,##0")&amp;" Unit/hr)",""))))),"")</f>
        <v/>
      </c>
      <c r="E28" s="14" t="str">
        <f>IFERROR(IF(OR('3_ROUTING_BREAKDOWN'!C13="",""),"",IF('3_ROUTING_BREAKDOWN'!I13&lt;&gt;'3_ROUTING_BREAKDOWN'!H13,'3_ROUTING_BREAKDOWN'!H13,IF('3_ROUTING_BREAKDOWN'!G13&lt;&gt;'3_ROUTING_BREAKDOWN'!F13,'3_ROUTING_BREAKDOWN'!F13,""))),"")</f>
        <v/>
      </c>
      <c r="F28" s="14" t="str">
        <f>IFERROR(IF(OR('3_ROUTING_BREAKDOWN'!C13="",""),"",IF('3_ROUTING_BREAKDOWN'!I13&lt;&gt;'3_ROUTING_BREAKDOWN'!H13,'3_ROUTING_BREAKDOWN'!I13,IF('3_ROUTING_BREAKDOWN'!G13&lt;&gt;'3_ROUTING_BREAKDOWN'!F13,'3_ROUTING_BREAKDOWN'!G13,""))),"")</f>
        <v/>
      </c>
      <c r="G28" s="15" t="str">
        <f>IFERROR(IF(OR('3_ROUTING_BREAKDOWN'!C13="",'3_ROUTING_BREAKDOWN'!P55=""),"",'3_ROUTING_BREAKDOWN'!P55),"")</f>
        <v/>
      </c>
      <c r="H28" s="16" t="str">
        <f t="shared" si="0"/>
        <v/>
      </c>
    </row>
    <row r="29" spans="1:8" x14ac:dyDescent="0.25">
      <c r="A29" s="7">
        <v>26</v>
      </c>
      <c r="B29" s="7" t="str">
        <f>IFERROR(IF('3_ROUTING_BREAKDOWN'!B14="","",'3_ROUTING_BREAKDOWN'!B14),"")</f>
        <v/>
      </c>
      <c r="C29" s="7" t="str">
        <f>IFERROR(IF('3_ROUTING_BREAKDOWN'!C14="","",'3_ROUTING_BREAKDOWN'!C14),"")</f>
        <v/>
      </c>
      <c r="D29" s="7" t="str">
        <f>IFERROR(IF(OR('3_ROUTING_BREAKDOWN'!C14="",""),"",IF('3_ROUTING_BREAKDOWN'!I14&lt;'3_ROUTING_BREAKDOWN'!H14,"Yield Drop ("&amp;TEXT('3_ROUTING_BREAKDOWN'!H14,"0.0%")&amp;" ➔ "&amp;TEXT('3_ROUTING_BREAKDOWN'!I14,"0.0%")&amp;")",IF('3_ROUTING_BREAKDOWN'!I14&gt;'3_ROUTING_BREAKDOWN'!H14,"Yield Improvement ("&amp;TEXT('3_ROUTING_BREAKDOWN'!H14,"0.0%")&amp;" ➔ "&amp;TEXT('3_ROUTING_BREAKDOWN'!I14,"0.0%")&amp;")",IF('3_ROUTING_BREAKDOWN'!G14&lt;'3_ROUTING_BREAKDOWN'!F14,"Capacity Drop ("&amp;TEXT('3_ROUTING_BREAKDOWN'!F14,"#,##0")&amp;" ➔ "&amp;TEXT('3_ROUTING_BREAKDOWN'!G14,"#,##0")&amp;" Unit/hr)",IF('3_ROUTING_BREAKDOWN'!G14&gt;'3_ROUTING_BREAKDOWN'!F14,"Capacity Improvement ("&amp;TEXT('3_ROUTING_BREAKDOWN'!F14,"#,##0")&amp;" ➔ "&amp;TEXT('3_ROUTING_BREAKDOWN'!G14,"#,##0")&amp;" Unit/hr)",""))))),"")</f>
        <v/>
      </c>
      <c r="E29" s="14" t="str">
        <f>IFERROR(IF(OR('3_ROUTING_BREAKDOWN'!C14="",""),"",IF('3_ROUTING_BREAKDOWN'!I14&lt;&gt;'3_ROUTING_BREAKDOWN'!H14,'3_ROUTING_BREAKDOWN'!H14,IF('3_ROUTING_BREAKDOWN'!G14&lt;&gt;'3_ROUTING_BREAKDOWN'!F14,'3_ROUTING_BREAKDOWN'!F14,""))),"")</f>
        <v/>
      </c>
      <c r="F29" s="14" t="str">
        <f>IFERROR(IF(OR('3_ROUTING_BREAKDOWN'!C14="",""),"",IF('3_ROUTING_BREAKDOWN'!I14&lt;&gt;'3_ROUTING_BREAKDOWN'!H14,'3_ROUTING_BREAKDOWN'!I14,IF('3_ROUTING_BREAKDOWN'!G14&lt;&gt;'3_ROUTING_BREAKDOWN'!F14,'3_ROUTING_BREAKDOWN'!G14,""))),"")</f>
        <v/>
      </c>
      <c r="G29" s="15" t="str">
        <f>IFERROR(IF(OR('3_ROUTING_BREAKDOWN'!C14="",'3_ROUTING_BREAKDOWN'!P56=""),"",'3_ROUTING_BREAKDOWN'!P56),"")</f>
        <v/>
      </c>
      <c r="H29" s="16" t="str">
        <f t="shared" si="0"/>
        <v/>
      </c>
    </row>
    <row r="30" spans="1:8" x14ac:dyDescent="0.25">
      <c r="A30" s="7">
        <v>27</v>
      </c>
      <c r="B30" s="7" t="str">
        <f>IFERROR(IF('3_ROUTING_BREAKDOWN'!B15="","",'3_ROUTING_BREAKDOWN'!B15),"")</f>
        <v/>
      </c>
      <c r="C30" s="7" t="str">
        <f>IFERROR(IF('3_ROUTING_BREAKDOWN'!C15="","",'3_ROUTING_BREAKDOWN'!C15),"")</f>
        <v/>
      </c>
      <c r="D30" s="7" t="str">
        <f>IFERROR(IF(OR('3_ROUTING_BREAKDOWN'!C15="",""),"",IF('3_ROUTING_BREAKDOWN'!I15&lt;'3_ROUTING_BREAKDOWN'!H15,"Yield Drop ("&amp;TEXT('3_ROUTING_BREAKDOWN'!H15,"0.0%")&amp;" ➔ "&amp;TEXT('3_ROUTING_BREAKDOWN'!I15,"0.0%")&amp;")",IF('3_ROUTING_BREAKDOWN'!I15&gt;'3_ROUTING_BREAKDOWN'!H15,"Yield Improvement ("&amp;TEXT('3_ROUTING_BREAKDOWN'!H15,"0.0%")&amp;" ➔ "&amp;TEXT('3_ROUTING_BREAKDOWN'!I15,"0.0%")&amp;")",IF('3_ROUTING_BREAKDOWN'!G15&lt;'3_ROUTING_BREAKDOWN'!F15,"Capacity Drop ("&amp;TEXT('3_ROUTING_BREAKDOWN'!F15,"#,##0")&amp;" ➔ "&amp;TEXT('3_ROUTING_BREAKDOWN'!G15,"#,##0")&amp;" Unit/hr)",IF('3_ROUTING_BREAKDOWN'!G15&gt;'3_ROUTING_BREAKDOWN'!F15,"Capacity Improvement ("&amp;TEXT('3_ROUTING_BREAKDOWN'!F15,"#,##0")&amp;" ➔ "&amp;TEXT('3_ROUTING_BREAKDOWN'!G15,"#,##0")&amp;" Unit/hr)",""))))),"")</f>
        <v/>
      </c>
      <c r="E30" s="14" t="str">
        <f>IFERROR(IF(OR('3_ROUTING_BREAKDOWN'!C15="",""),"",IF('3_ROUTING_BREAKDOWN'!I15&lt;&gt;'3_ROUTING_BREAKDOWN'!H15,'3_ROUTING_BREAKDOWN'!H15,IF('3_ROUTING_BREAKDOWN'!G15&lt;&gt;'3_ROUTING_BREAKDOWN'!F15,'3_ROUTING_BREAKDOWN'!F15,""))),"")</f>
        <v/>
      </c>
      <c r="F30" s="14" t="str">
        <f>IFERROR(IF(OR('3_ROUTING_BREAKDOWN'!C15="",""),"",IF('3_ROUTING_BREAKDOWN'!I15&lt;&gt;'3_ROUTING_BREAKDOWN'!H15,'3_ROUTING_BREAKDOWN'!I15,IF('3_ROUTING_BREAKDOWN'!G15&lt;&gt;'3_ROUTING_BREAKDOWN'!F15,'3_ROUTING_BREAKDOWN'!G15,""))),"")</f>
        <v/>
      </c>
      <c r="G30" s="15" t="str">
        <f>IFERROR(IF(OR('3_ROUTING_BREAKDOWN'!C15="",'3_ROUTING_BREAKDOWN'!P57=""),"",'3_ROUTING_BREAKDOWN'!P57),"")</f>
        <v/>
      </c>
      <c r="H30" s="16" t="str">
        <f t="shared" si="0"/>
        <v/>
      </c>
    </row>
    <row r="31" spans="1:8" x14ac:dyDescent="0.25">
      <c r="A31" s="7">
        <v>28</v>
      </c>
      <c r="B31" s="7" t="str">
        <f>IFERROR(IF('3_ROUTING_BREAKDOWN'!B16="","",'3_ROUTING_BREAKDOWN'!B16),"")</f>
        <v/>
      </c>
      <c r="C31" s="7" t="str">
        <f>IFERROR(IF('3_ROUTING_BREAKDOWN'!C16="","",'3_ROUTING_BREAKDOWN'!C16),"")</f>
        <v/>
      </c>
      <c r="D31" s="7" t="str">
        <f>IFERROR(IF(OR('3_ROUTING_BREAKDOWN'!C16="",""),"",IF('3_ROUTING_BREAKDOWN'!I16&lt;'3_ROUTING_BREAKDOWN'!H16,"Yield Drop ("&amp;TEXT('3_ROUTING_BREAKDOWN'!H16,"0.0%")&amp;" ➔ "&amp;TEXT('3_ROUTING_BREAKDOWN'!I16,"0.0%")&amp;")",IF('3_ROUTING_BREAKDOWN'!I16&gt;'3_ROUTING_BREAKDOWN'!H16,"Yield Improvement ("&amp;TEXT('3_ROUTING_BREAKDOWN'!H16,"0.0%")&amp;" ➔ "&amp;TEXT('3_ROUTING_BREAKDOWN'!I16,"0.0%")&amp;")",IF('3_ROUTING_BREAKDOWN'!G16&lt;'3_ROUTING_BREAKDOWN'!F16,"Capacity Drop ("&amp;TEXT('3_ROUTING_BREAKDOWN'!F16,"#,##0")&amp;" ➔ "&amp;TEXT('3_ROUTING_BREAKDOWN'!G16,"#,##0")&amp;" Unit/hr)",IF('3_ROUTING_BREAKDOWN'!G16&gt;'3_ROUTING_BREAKDOWN'!F16,"Capacity Improvement ("&amp;TEXT('3_ROUTING_BREAKDOWN'!F16,"#,##0")&amp;" ➔ "&amp;TEXT('3_ROUTING_BREAKDOWN'!G16,"#,##0")&amp;" Unit/hr)",""))))),"")</f>
        <v/>
      </c>
      <c r="E31" s="14" t="str">
        <f>IFERROR(IF(OR('3_ROUTING_BREAKDOWN'!C16="",""),"",IF('3_ROUTING_BREAKDOWN'!I16&lt;&gt;'3_ROUTING_BREAKDOWN'!H16,'3_ROUTING_BREAKDOWN'!H16,IF('3_ROUTING_BREAKDOWN'!G16&lt;&gt;'3_ROUTING_BREAKDOWN'!F16,'3_ROUTING_BREAKDOWN'!F16,""))),"")</f>
        <v/>
      </c>
      <c r="F31" s="14" t="str">
        <f>IFERROR(IF(OR('3_ROUTING_BREAKDOWN'!C16="",""),"",IF('3_ROUTING_BREAKDOWN'!I16&lt;&gt;'3_ROUTING_BREAKDOWN'!H16,'3_ROUTING_BREAKDOWN'!I16,IF('3_ROUTING_BREAKDOWN'!G16&lt;&gt;'3_ROUTING_BREAKDOWN'!F16,'3_ROUTING_BREAKDOWN'!G16,""))),"")</f>
        <v/>
      </c>
      <c r="G31" s="15" t="str">
        <f>IFERROR(IF(OR('3_ROUTING_BREAKDOWN'!C16="",'3_ROUTING_BREAKDOWN'!P58=""),"",'3_ROUTING_BREAKDOWN'!P58),"")</f>
        <v/>
      </c>
      <c r="H31" s="16" t="str">
        <f t="shared" si="0"/>
        <v/>
      </c>
    </row>
    <row r="32" spans="1:8" x14ac:dyDescent="0.25">
      <c r="A32" s="7">
        <v>29</v>
      </c>
      <c r="B32" s="7" t="str">
        <f>IFERROR(IF('3_ROUTING_BREAKDOWN'!B17="","",'3_ROUTING_BREAKDOWN'!B17),"")</f>
        <v/>
      </c>
      <c r="C32" s="7" t="str">
        <f>IFERROR(IF('3_ROUTING_BREAKDOWN'!C17="","",'3_ROUTING_BREAKDOWN'!C17),"")</f>
        <v/>
      </c>
      <c r="D32" s="7" t="str">
        <f>IFERROR(IF(OR('3_ROUTING_BREAKDOWN'!C17="",""),"",IF('3_ROUTING_BREAKDOWN'!I17&lt;'3_ROUTING_BREAKDOWN'!H17,"Yield Drop ("&amp;TEXT('3_ROUTING_BREAKDOWN'!H17,"0.0%")&amp;" ➔ "&amp;TEXT('3_ROUTING_BREAKDOWN'!I17,"0.0%")&amp;")",IF('3_ROUTING_BREAKDOWN'!I17&gt;'3_ROUTING_BREAKDOWN'!H17,"Yield Improvement ("&amp;TEXT('3_ROUTING_BREAKDOWN'!H17,"0.0%")&amp;" ➔ "&amp;TEXT('3_ROUTING_BREAKDOWN'!I17,"0.0%")&amp;")",IF('3_ROUTING_BREAKDOWN'!G17&lt;'3_ROUTING_BREAKDOWN'!F17,"Capacity Drop ("&amp;TEXT('3_ROUTING_BREAKDOWN'!F17,"#,##0")&amp;" ➔ "&amp;TEXT('3_ROUTING_BREAKDOWN'!G17,"#,##0")&amp;" Unit/hr)",IF('3_ROUTING_BREAKDOWN'!G17&gt;'3_ROUTING_BREAKDOWN'!F17,"Capacity Improvement ("&amp;TEXT('3_ROUTING_BREAKDOWN'!F17,"#,##0")&amp;" ➔ "&amp;TEXT('3_ROUTING_BREAKDOWN'!G17,"#,##0")&amp;" Unit/hr)",""))))),"")</f>
        <v/>
      </c>
      <c r="E32" s="14" t="str">
        <f>IFERROR(IF(OR('3_ROUTING_BREAKDOWN'!C17="",""),"",IF('3_ROUTING_BREAKDOWN'!I17&lt;&gt;'3_ROUTING_BREAKDOWN'!H17,'3_ROUTING_BREAKDOWN'!H17,IF('3_ROUTING_BREAKDOWN'!G17&lt;&gt;'3_ROUTING_BREAKDOWN'!F17,'3_ROUTING_BREAKDOWN'!F17,""))),"")</f>
        <v/>
      </c>
      <c r="F32" s="14" t="str">
        <f>IFERROR(IF(OR('3_ROUTING_BREAKDOWN'!C17="",""),"",IF('3_ROUTING_BREAKDOWN'!I17&lt;&gt;'3_ROUTING_BREAKDOWN'!H17,'3_ROUTING_BREAKDOWN'!I17,IF('3_ROUTING_BREAKDOWN'!G17&lt;&gt;'3_ROUTING_BREAKDOWN'!F17,'3_ROUTING_BREAKDOWN'!G17,""))),"")</f>
        <v/>
      </c>
      <c r="G32" s="15" t="str">
        <f>IFERROR(IF(OR('3_ROUTING_BREAKDOWN'!C17="",'3_ROUTING_BREAKDOWN'!P59=""),"",'3_ROUTING_BREAKDOWN'!P59),"")</f>
        <v/>
      </c>
      <c r="H32" s="16" t="str">
        <f t="shared" si="0"/>
        <v/>
      </c>
    </row>
    <row r="33" spans="1:8" x14ac:dyDescent="0.25">
      <c r="A33" s="7">
        <v>30</v>
      </c>
      <c r="B33" s="7" t="str">
        <f>IFERROR(IF('3_ROUTING_BREAKDOWN'!B18="","",'3_ROUTING_BREAKDOWN'!B18),"")</f>
        <v/>
      </c>
      <c r="C33" s="7" t="str">
        <f>IFERROR(IF('3_ROUTING_BREAKDOWN'!C18="","",'3_ROUTING_BREAKDOWN'!C18),"")</f>
        <v/>
      </c>
      <c r="D33" s="7" t="str">
        <f>IFERROR(IF(OR('3_ROUTING_BREAKDOWN'!C18="",""),"",IF('3_ROUTING_BREAKDOWN'!I18&lt;'3_ROUTING_BREAKDOWN'!H18,"Yield Drop ("&amp;TEXT('3_ROUTING_BREAKDOWN'!H18,"0.0%")&amp;" ➔ "&amp;TEXT('3_ROUTING_BREAKDOWN'!I18,"0.0%")&amp;")",IF('3_ROUTING_BREAKDOWN'!I18&gt;'3_ROUTING_BREAKDOWN'!H18,"Yield Improvement ("&amp;TEXT('3_ROUTING_BREAKDOWN'!H18,"0.0%")&amp;" ➔ "&amp;TEXT('3_ROUTING_BREAKDOWN'!I18,"0.0%")&amp;")",IF('3_ROUTING_BREAKDOWN'!G18&lt;'3_ROUTING_BREAKDOWN'!F18,"Capacity Drop ("&amp;TEXT('3_ROUTING_BREAKDOWN'!F18,"#,##0")&amp;" ➔ "&amp;TEXT('3_ROUTING_BREAKDOWN'!G18,"#,##0")&amp;" Unit/hr)",IF('3_ROUTING_BREAKDOWN'!G18&gt;'3_ROUTING_BREAKDOWN'!F18,"Capacity Improvement ("&amp;TEXT('3_ROUTING_BREAKDOWN'!F18,"#,##0")&amp;" ➔ "&amp;TEXT('3_ROUTING_BREAKDOWN'!G18,"#,##0")&amp;" Unit/hr)",""))))),"")</f>
        <v/>
      </c>
      <c r="E33" s="14" t="str">
        <f>IFERROR(IF(OR('3_ROUTING_BREAKDOWN'!C18="",""),"",IF('3_ROUTING_BREAKDOWN'!I18&lt;&gt;'3_ROUTING_BREAKDOWN'!H18,'3_ROUTING_BREAKDOWN'!H18,IF('3_ROUTING_BREAKDOWN'!G18&lt;&gt;'3_ROUTING_BREAKDOWN'!F18,'3_ROUTING_BREAKDOWN'!F18,""))),"")</f>
        <v/>
      </c>
      <c r="F33" s="14" t="str">
        <f>IFERROR(IF(OR('3_ROUTING_BREAKDOWN'!C18="",""),"",IF('3_ROUTING_BREAKDOWN'!I18&lt;&gt;'3_ROUTING_BREAKDOWN'!H18,'3_ROUTING_BREAKDOWN'!I18,IF('3_ROUTING_BREAKDOWN'!G18&lt;&gt;'3_ROUTING_BREAKDOWN'!F18,'3_ROUTING_BREAKDOWN'!G18,""))),"")</f>
        <v/>
      </c>
      <c r="G33" s="15" t="str">
        <f>IFERROR(IF(OR('3_ROUTING_BREAKDOWN'!C18="",'3_ROUTING_BREAKDOWN'!P60=""),"",'3_ROUTING_BREAKDOWN'!P60),"")</f>
        <v/>
      </c>
      <c r="H33" s="16" t="str">
        <f t="shared" si="0"/>
        <v/>
      </c>
    </row>
    <row r="34" spans="1:8" x14ac:dyDescent="0.25">
      <c r="A34" s="7">
        <v>31</v>
      </c>
      <c r="B34" s="7" t="str">
        <f>IFERROR(IF('3_ROUTING_BREAKDOWN'!B19="","",'3_ROUTING_BREAKDOWN'!B19),"")</f>
        <v/>
      </c>
      <c r="C34" s="7" t="str">
        <f>IFERROR(IF('3_ROUTING_BREAKDOWN'!C19="","",'3_ROUTING_BREAKDOWN'!C19),"")</f>
        <v/>
      </c>
      <c r="D34" s="7" t="str">
        <f>IFERROR(IF(OR('3_ROUTING_BREAKDOWN'!C19="",""),"",IF('3_ROUTING_BREAKDOWN'!I19&lt;'3_ROUTING_BREAKDOWN'!H19,"Yield Drop ("&amp;TEXT('3_ROUTING_BREAKDOWN'!H19,"0.0%")&amp;" ➔ "&amp;TEXT('3_ROUTING_BREAKDOWN'!I19,"0.0%")&amp;")",IF('3_ROUTING_BREAKDOWN'!I19&gt;'3_ROUTING_BREAKDOWN'!H19,"Yield Improvement ("&amp;TEXT('3_ROUTING_BREAKDOWN'!H19,"0.0%")&amp;" ➔ "&amp;TEXT('3_ROUTING_BREAKDOWN'!I19,"0.0%")&amp;")",IF('3_ROUTING_BREAKDOWN'!G19&lt;'3_ROUTING_BREAKDOWN'!F19,"Capacity Drop ("&amp;TEXT('3_ROUTING_BREAKDOWN'!F19,"#,##0")&amp;" ➔ "&amp;TEXT('3_ROUTING_BREAKDOWN'!G19,"#,##0")&amp;" Unit/hr)",IF('3_ROUTING_BREAKDOWN'!G19&gt;'3_ROUTING_BREAKDOWN'!F19,"Capacity Improvement ("&amp;TEXT('3_ROUTING_BREAKDOWN'!F19,"#,##0")&amp;" ➔ "&amp;TEXT('3_ROUTING_BREAKDOWN'!G19,"#,##0")&amp;" Unit/hr)",""))))),"")</f>
        <v/>
      </c>
      <c r="E34" s="14" t="str">
        <f>IFERROR(IF(OR('3_ROUTING_BREAKDOWN'!C19="",""),"",IF('3_ROUTING_BREAKDOWN'!I19&lt;&gt;'3_ROUTING_BREAKDOWN'!H19,'3_ROUTING_BREAKDOWN'!H19,IF('3_ROUTING_BREAKDOWN'!G19&lt;&gt;'3_ROUTING_BREAKDOWN'!F19,'3_ROUTING_BREAKDOWN'!F19,""))),"")</f>
        <v/>
      </c>
      <c r="F34" s="14" t="str">
        <f>IFERROR(IF(OR('3_ROUTING_BREAKDOWN'!C19="",""),"",IF('3_ROUTING_BREAKDOWN'!I19&lt;&gt;'3_ROUTING_BREAKDOWN'!H19,'3_ROUTING_BREAKDOWN'!I19,IF('3_ROUTING_BREAKDOWN'!G19&lt;&gt;'3_ROUTING_BREAKDOWN'!F19,'3_ROUTING_BREAKDOWN'!G19,""))),"")</f>
        <v/>
      </c>
      <c r="G34" s="15" t="str">
        <f>IFERROR(IF(OR('3_ROUTING_BREAKDOWN'!C19="",'3_ROUTING_BREAKDOWN'!P61=""),"",'3_ROUTING_BREAKDOWN'!P61),"")</f>
        <v/>
      </c>
      <c r="H34" s="16" t="str">
        <f t="shared" si="0"/>
        <v/>
      </c>
    </row>
    <row r="35" spans="1:8" x14ac:dyDescent="0.25">
      <c r="A35" s="7">
        <v>32</v>
      </c>
      <c r="B35" s="7" t="str">
        <f>IFERROR(IF('3_ROUTING_BREAKDOWN'!B20="","",'3_ROUTING_BREAKDOWN'!B20),"")</f>
        <v/>
      </c>
      <c r="C35" s="7" t="str">
        <f>IFERROR(IF('3_ROUTING_BREAKDOWN'!C20="","",'3_ROUTING_BREAKDOWN'!C20),"")</f>
        <v/>
      </c>
      <c r="D35" s="7" t="str">
        <f>IFERROR(IF(OR('3_ROUTING_BREAKDOWN'!C20="",""),"",IF('3_ROUTING_BREAKDOWN'!I20&lt;'3_ROUTING_BREAKDOWN'!H20,"Yield Drop ("&amp;TEXT('3_ROUTING_BREAKDOWN'!H20,"0.0%")&amp;" ➔ "&amp;TEXT('3_ROUTING_BREAKDOWN'!I20,"0.0%")&amp;")",IF('3_ROUTING_BREAKDOWN'!I20&gt;'3_ROUTING_BREAKDOWN'!H20,"Yield Improvement ("&amp;TEXT('3_ROUTING_BREAKDOWN'!H20,"0.0%")&amp;" ➔ "&amp;TEXT('3_ROUTING_BREAKDOWN'!I20,"0.0%")&amp;")",IF('3_ROUTING_BREAKDOWN'!G20&lt;'3_ROUTING_BREAKDOWN'!F20,"Capacity Drop ("&amp;TEXT('3_ROUTING_BREAKDOWN'!F20,"#,##0")&amp;" ➔ "&amp;TEXT('3_ROUTING_BREAKDOWN'!G20,"#,##0")&amp;" Unit/hr)",IF('3_ROUTING_BREAKDOWN'!G20&gt;'3_ROUTING_BREAKDOWN'!F20,"Capacity Improvement ("&amp;TEXT('3_ROUTING_BREAKDOWN'!F20,"#,##0")&amp;" ➔ "&amp;TEXT('3_ROUTING_BREAKDOWN'!G20,"#,##0")&amp;" Unit/hr)",""))))),"")</f>
        <v/>
      </c>
      <c r="E35" s="14" t="str">
        <f>IFERROR(IF(OR('3_ROUTING_BREAKDOWN'!C20="",""),"",IF('3_ROUTING_BREAKDOWN'!I20&lt;&gt;'3_ROUTING_BREAKDOWN'!H20,'3_ROUTING_BREAKDOWN'!H20,IF('3_ROUTING_BREAKDOWN'!G20&lt;&gt;'3_ROUTING_BREAKDOWN'!F20,'3_ROUTING_BREAKDOWN'!F20,""))),"")</f>
        <v/>
      </c>
      <c r="F35" s="14" t="str">
        <f>IFERROR(IF(OR('3_ROUTING_BREAKDOWN'!C20="",""),"",IF('3_ROUTING_BREAKDOWN'!I20&lt;&gt;'3_ROUTING_BREAKDOWN'!H20,'3_ROUTING_BREAKDOWN'!I20,IF('3_ROUTING_BREAKDOWN'!G20&lt;&gt;'3_ROUTING_BREAKDOWN'!F20,'3_ROUTING_BREAKDOWN'!G20,""))),"")</f>
        <v/>
      </c>
      <c r="G35" s="15" t="str">
        <f>IFERROR(IF(OR('3_ROUTING_BREAKDOWN'!C20="",'3_ROUTING_BREAKDOWN'!P62=""),"",'3_ROUTING_BREAKDOWN'!P62),"")</f>
        <v/>
      </c>
      <c r="H35" s="16" t="str">
        <f t="shared" si="0"/>
        <v/>
      </c>
    </row>
    <row r="36" spans="1:8" x14ac:dyDescent="0.25">
      <c r="A36" s="7">
        <v>33</v>
      </c>
      <c r="B36" s="7" t="str">
        <f>IFERROR(IF('3_ROUTING_BREAKDOWN'!B21="","",'3_ROUTING_BREAKDOWN'!B21),"")</f>
        <v/>
      </c>
      <c r="C36" s="7" t="str">
        <f>IFERROR(IF('3_ROUTING_BREAKDOWN'!C21="","",'3_ROUTING_BREAKDOWN'!C21),"")</f>
        <v/>
      </c>
      <c r="D36" s="7" t="str">
        <f>IFERROR(IF(OR('3_ROUTING_BREAKDOWN'!C21="",""),"",IF('3_ROUTING_BREAKDOWN'!I21&lt;'3_ROUTING_BREAKDOWN'!H21,"Yield Drop ("&amp;TEXT('3_ROUTING_BREAKDOWN'!H21,"0.0%")&amp;" ➔ "&amp;TEXT('3_ROUTING_BREAKDOWN'!I21,"0.0%")&amp;")",IF('3_ROUTING_BREAKDOWN'!I21&gt;'3_ROUTING_BREAKDOWN'!H21,"Yield Improvement ("&amp;TEXT('3_ROUTING_BREAKDOWN'!H21,"0.0%")&amp;" ➔ "&amp;TEXT('3_ROUTING_BREAKDOWN'!I21,"0.0%")&amp;")",IF('3_ROUTING_BREAKDOWN'!G21&lt;'3_ROUTING_BREAKDOWN'!F21,"Capacity Drop ("&amp;TEXT('3_ROUTING_BREAKDOWN'!F21,"#,##0")&amp;" ➔ "&amp;TEXT('3_ROUTING_BREAKDOWN'!G21,"#,##0")&amp;" Unit/hr)",IF('3_ROUTING_BREAKDOWN'!G21&gt;'3_ROUTING_BREAKDOWN'!F21,"Capacity Improvement ("&amp;TEXT('3_ROUTING_BREAKDOWN'!F21,"#,##0")&amp;" ➔ "&amp;TEXT('3_ROUTING_BREAKDOWN'!G21,"#,##0")&amp;" Unit/hr)",""))))),"")</f>
        <v/>
      </c>
      <c r="E36" s="14" t="str">
        <f>IFERROR(IF(OR('3_ROUTING_BREAKDOWN'!C21="",""),"",IF('3_ROUTING_BREAKDOWN'!I21&lt;&gt;'3_ROUTING_BREAKDOWN'!H21,'3_ROUTING_BREAKDOWN'!H21,IF('3_ROUTING_BREAKDOWN'!G21&lt;&gt;'3_ROUTING_BREAKDOWN'!F21,'3_ROUTING_BREAKDOWN'!F21,""))),"")</f>
        <v/>
      </c>
      <c r="F36" s="14" t="str">
        <f>IFERROR(IF(OR('3_ROUTING_BREAKDOWN'!C21="",""),"",IF('3_ROUTING_BREAKDOWN'!I21&lt;&gt;'3_ROUTING_BREAKDOWN'!H21,'3_ROUTING_BREAKDOWN'!I21,IF('3_ROUTING_BREAKDOWN'!G21&lt;&gt;'3_ROUTING_BREAKDOWN'!F21,'3_ROUTING_BREAKDOWN'!G21,""))),"")</f>
        <v/>
      </c>
      <c r="G36" s="15" t="str">
        <f>IFERROR(IF(OR('3_ROUTING_BREAKDOWN'!C21="",'3_ROUTING_BREAKDOWN'!P63=""),"",'3_ROUTING_BREAKDOWN'!P63),"")</f>
        <v/>
      </c>
      <c r="H36" s="16" t="str">
        <f t="shared" ref="H36:H67" si="1">IFERROR(IF(OR(G36="",G36&lt;=0), "", G36+(55-A36)*0.00000001), "")</f>
        <v/>
      </c>
    </row>
    <row r="37" spans="1:8" x14ac:dyDescent="0.25">
      <c r="A37" s="7">
        <v>34</v>
      </c>
      <c r="B37" s="7" t="str">
        <f>IFERROR(IF('3_ROUTING_BREAKDOWN'!B22="","",'3_ROUTING_BREAKDOWN'!B22),"")</f>
        <v/>
      </c>
      <c r="C37" s="7" t="str">
        <f>IFERROR(IF('3_ROUTING_BREAKDOWN'!C22="","",'3_ROUTING_BREAKDOWN'!C22),"")</f>
        <v/>
      </c>
      <c r="D37" s="7" t="str">
        <f>IFERROR(IF(OR('3_ROUTING_BREAKDOWN'!C22="",""),"",IF('3_ROUTING_BREAKDOWN'!I22&lt;'3_ROUTING_BREAKDOWN'!H22,"Yield Drop ("&amp;TEXT('3_ROUTING_BREAKDOWN'!H22,"0.0%")&amp;" ➔ "&amp;TEXT('3_ROUTING_BREAKDOWN'!I22,"0.0%")&amp;")",IF('3_ROUTING_BREAKDOWN'!I22&gt;'3_ROUTING_BREAKDOWN'!H22,"Yield Improvement ("&amp;TEXT('3_ROUTING_BREAKDOWN'!H22,"0.0%")&amp;" ➔ "&amp;TEXT('3_ROUTING_BREAKDOWN'!I22,"0.0%")&amp;")",IF('3_ROUTING_BREAKDOWN'!G22&lt;'3_ROUTING_BREAKDOWN'!F22,"Capacity Drop ("&amp;TEXT('3_ROUTING_BREAKDOWN'!F22,"#,##0")&amp;" ➔ "&amp;TEXT('3_ROUTING_BREAKDOWN'!G22,"#,##0")&amp;" Unit/hr)",IF('3_ROUTING_BREAKDOWN'!G22&gt;'3_ROUTING_BREAKDOWN'!F22,"Capacity Improvement ("&amp;TEXT('3_ROUTING_BREAKDOWN'!F22,"#,##0")&amp;" ➔ "&amp;TEXT('3_ROUTING_BREAKDOWN'!G22,"#,##0")&amp;" Unit/hr)",""))))),"")</f>
        <v/>
      </c>
      <c r="E37" s="14" t="str">
        <f>IFERROR(IF(OR('3_ROUTING_BREAKDOWN'!C22="",""),"",IF('3_ROUTING_BREAKDOWN'!I22&lt;&gt;'3_ROUTING_BREAKDOWN'!H22,'3_ROUTING_BREAKDOWN'!H22,IF('3_ROUTING_BREAKDOWN'!G22&lt;&gt;'3_ROUTING_BREAKDOWN'!F22,'3_ROUTING_BREAKDOWN'!F22,""))),"")</f>
        <v/>
      </c>
      <c r="F37" s="14" t="str">
        <f>IFERROR(IF(OR('3_ROUTING_BREAKDOWN'!C22="",""),"",IF('3_ROUTING_BREAKDOWN'!I22&lt;&gt;'3_ROUTING_BREAKDOWN'!H22,'3_ROUTING_BREAKDOWN'!I22,IF('3_ROUTING_BREAKDOWN'!G22&lt;&gt;'3_ROUTING_BREAKDOWN'!F22,'3_ROUTING_BREAKDOWN'!G22,""))),"")</f>
        <v/>
      </c>
      <c r="G37" s="15" t="str">
        <f>IFERROR(IF(OR('3_ROUTING_BREAKDOWN'!C22="",'3_ROUTING_BREAKDOWN'!P64=""),"",'3_ROUTING_BREAKDOWN'!P64),"")</f>
        <v/>
      </c>
      <c r="H37" s="16" t="str">
        <f t="shared" si="1"/>
        <v/>
      </c>
    </row>
    <row r="38" spans="1:8" x14ac:dyDescent="0.25">
      <c r="A38" s="7">
        <v>35</v>
      </c>
      <c r="B38" s="7" t="str">
        <f>IFERROR(IF('3_ROUTING_BREAKDOWN'!B23="","",'3_ROUTING_BREAKDOWN'!B23),"")</f>
        <v/>
      </c>
      <c r="C38" s="7" t="str">
        <f>IFERROR(IF('3_ROUTING_BREAKDOWN'!C23="","",'3_ROUTING_BREAKDOWN'!C23),"")</f>
        <v/>
      </c>
      <c r="D38" s="7" t="str">
        <f>IFERROR(IF(OR('3_ROUTING_BREAKDOWN'!C23="",""),"",IF('3_ROUTING_BREAKDOWN'!I23&lt;'3_ROUTING_BREAKDOWN'!H23,"Yield Drop ("&amp;TEXT('3_ROUTING_BREAKDOWN'!H23,"0.0%")&amp;" ➔ "&amp;TEXT('3_ROUTING_BREAKDOWN'!I23,"0.0%")&amp;")",IF('3_ROUTING_BREAKDOWN'!I23&gt;'3_ROUTING_BREAKDOWN'!H23,"Yield Improvement ("&amp;TEXT('3_ROUTING_BREAKDOWN'!H23,"0.0%")&amp;" ➔ "&amp;TEXT('3_ROUTING_BREAKDOWN'!I23,"0.0%")&amp;")",IF('3_ROUTING_BREAKDOWN'!G23&lt;'3_ROUTING_BREAKDOWN'!F23,"Capacity Drop ("&amp;TEXT('3_ROUTING_BREAKDOWN'!F23,"#,##0")&amp;" ➔ "&amp;TEXT('3_ROUTING_BREAKDOWN'!G23,"#,##0")&amp;" Unit/hr)",IF('3_ROUTING_BREAKDOWN'!G23&gt;'3_ROUTING_BREAKDOWN'!F23,"Capacity Improvement ("&amp;TEXT('3_ROUTING_BREAKDOWN'!F23,"#,##0")&amp;" ➔ "&amp;TEXT('3_ROUTING_BREAKDOWN'!G23,"#,##0")&amp;" Unit/hr)",""))))),"")</f>
        <v/>
      </c>
      <c r="E38" s="14" t="str">
        <f>IFERROR(IF(OR('3_ROUTING_BREAKDOWN'!C23="",""),"",IF('3_ROUTING_BREAKDOWN'!I23&lt;&gt;'3_ROUTING_BREAKDOWN'!H23,'3_ROUTING_BREAKDOWN'!H23,IF('3_ROUTING_BREAKDOWN'!G23&lt;&gt;'3_ROUTING_BREAKDOWN'!F23,'3_ROUTING_BREAKDOWN'!F23,""))),"")</f>
        <v/>
      </c>
      <c r="F38" s="14" t="str">
        <f>IFERROR(IF(OR('3_ROUTING_BREAKDOWN'!C23="",""),"",IF('3_ROUTING_BREAKDOWN'!I23&lt;&gt;'3_ROUTING_BREAKDOWN'!H23,'3_ROUTING_BREAKDOWN'!I23,IF('3_ROUTING_BREAKDOWN'!G23&lt;&gt;'3_ROUTING_BREAKDOWN'!F23,'3_ROUTING_BREAKDOWN'!G23,""))),"")</f>
        <v/>
      </c>
      <c r="G38" s="15" t="str">
        <f>IFERROR(IF(OR('3_ROUTING_BREAKDOWN'!C23="",'3_ROUTING_BREAKDOWN'!P65=""),"",'3_ROUTING_BREAKDOWN'!P65),"")</f>
        <v/>
      </c>
      <c r="H38" s="16" t="str">
        <f t="shared" si="1"/>
        <v/>
      </c>
    </row>
    <row r="39" spans="1:8" x14ac:dyDescent="0.25">
      <c r="A39" s="7">
        <v>36</v>
      </c>
      <c r="B39" s="7" t="str">
        <f>IFERROR(IF('3_ROUTING_BREAKDOWN'!B24="","",'3_ROUTING_BREAKDOWN'!B24),"")</f>
        <v/>
      </c>
      <c r="C39" s="7" t="str">
        <f>IFERROR(IF('3_ROUTING_BREAKDOWN'!C24="","",'3_ROUTING_BREAKDOWN'!C24),"")</f>
        <v/>
      </c>
      <c r="D39" s="7" t="str">
        <f>IFERROR(IF(OR('3_ROUTING_BREAKDOWN'!C24="",""),"",IF('3_ROUTING_BREAKDOWN'!I24&lt;'3_ROUTING_BREAKDOWN'!H24,"Yield Drop ("&amp;TEXT('3_ROUTING_BREAKDOWN'!H24,"0.0%")&amp;" ➔ "&amp;TEXT('3_ROUTING_BREAKDOWN'!I24,"0.0%")&amp;")",IF('3_ROUTING_BREAKDOWN'!I24&gt;'3_ROUTING_BREAKDOWN'!H24,"Yield Improvement ("&amp;TEXT('3_ROUTING_BREAKDOWN'!H24,"0.0%")&amp;" ➔ "&amp;TEXT('3_ROUTING_BREAKDOWN'!I24,"0.0%")&amp;")",IF('3_ROUTING_BREAKDOWN'!G24&lt;'3_ROUTING_BREAKDOWN'!F24,"Capacity Drop ("&amp;TEXT('3_ROUTING_BREAKDOWN'!F24,"#,##0")&amp;" ➔ "&amp;TEXT('3_ROUTING_BREAKDOWN'!G24,"#,##0")&amp;" Unit/hr)",IF('3_ROUTING_BREAKDOWN'!G24&gt;'3_ROUTING_BREAKDOWN'!F24,"Capacity Improvement ("&amp;TEXT('3_ROUTING_BREAKDOWN'!F24,"#,##0")&amp;" ➔ "&amp;TEXT('3_ROUTING_BREAKDOWN'!G24,"#,##0")&amp;" Unit/hr)",""))))),"")</f>
        <v/>
      </c>
      <c r="E39" s="14" t="str">
        <f>IFERROR(IF(OR('3_ROUTING_BREAKDOWN'!C24="",""),"",IF('3_ROUTING_BREAKDOWN'!I24&lt;&gt;'3_ROUTING_BREAKDOWN'!H24,'3_ROUTING_BREAKDOWN'!H24,IF('3_ROUTING_BREAKDOWN'!G24&lt;&gt;'3_ROUTING_BREAKDOWN'!F24,'3_ROUTING_BREAKDOWN'!F24,""))),"")</f>
        <v/>
      </c>
      <c r="F39" s="14" t="str">
        <f>IFERROR(IF(OR('3_ROUTING_BREAKDOWN'!C24="",""),"",IF('3_ROUTING_BREAKDOWN'!I24&lt;&gt;'3_ROUTING_BREAKDOWN'!H24,'3_ROUTING_BREAKDOWN'!I24,IF('3_ROUTING_BREAKDOWN'!G24&lt;&gt;'3_ROUTING_BREAKDOWN'!F24,'3_ROUTING_BREAKDOWN'!G24,""))),"")</f>
        <v/>
      </c>
      <c r="G39" s="15" t="str">
        <f>IFERROR(IF(OR('3_ROUTING_BREAKDOWN'!C24="",'3_ROUTING_BREAKDOWN'!P66=""),"",'3_ROUTING_BREAKDOWN'!P66),"")</f>
        <v/>
      </c>
      <c r="H39" s="16" t="str">
        <f t="shared" si="1"/>
        <v/>
      </c>
    </row>
    <row r="40" spans="1:8" x14ac:dyDescent="0.25">
      <c r="A40" s="7">
        <v>37</v>
      </c>
      <c r="B40" s="7" t="str">
        <f>IFERROR(IF('3_ROUTING_BREAKDOWN'!B25="","",'3_ROUTING_BREAKDOWN'!B25),"")</f>
        <v/>
      </c>
      <c r="C40" s="7" t="str">
        <f>IFERROR(IF('3_ROUTING_BREAKDOWN'!C25="","",'3_ROUTING_BREAKDOWN'!C25),"")</f>
        <v/>
      </c>
      <c r="D40" s="7" t="str">
        <f>IFERROR(IF(OR('3_ROUTING_BREAKDOWN'!C25="",""),"",IF('3_ROUTING_BREAKDOWN'!I25&lt;'3_ROUTING_BREAKDOWN'!H25,"Yield Drop ("&amp;TEXT('3_ROUTING_BREAKDOWN'!H25,"0.0%")&amp;" ➔ "&amp;TEXT('3_ROUTING_BREAKDOWN'!I25,"0.0%")&amp;")",IF('3_ROUTING_BREAKDOWN'!I25&gt;'3_ROUTING_BREAKDOWN'!H25,"Yield Improvement ("&amp;TEXT('3_ROUTING_BREAKDOWN'!H25,"0.0%")&amp;" ➔ "&amp;TEXT('3_ROUTING_BREAKDOWN'!I25,"0.0%")&amp;")",IF('3_ROUTING_BREAKDOWN'!G25&lt;'3_ROUTING_BREAKDOWN'!F25,"Capacity Drop ("&amp;TEXT('3_ROUTING_BREAKDOWN'!F25,"#,##0")&amp;" ➔ "&amp;TEXT('3_ROUTING_BREAKDOWN'!G25,"#,##0")&amp;" Unit/hr)",IF('3_ROUTING_BREAKDOWN'!G25&gt;'3_ROUTING_BREAKDOWN'!F25,"Capacity Improvement ("&amp;TEXT('3_ROUTING_BREAKDOWN'!F25,"#,##0")&amp;" ➔ "&amp;TEXT('3_ROUTING_BREAKDOWN'!G25,"#,##0")&amp;" Unit/hr)",""))))),"")</f>
        <v/>
      </c>
      <c r="E40" s="14" t="str">
        <f>IFERROR(IF(OR('3_ROUTING_BREAKDOWN'!C25="",""),"",IF('3_ROUTING_BREAKDOWN'!I25&lt;&gt;'3_ROUTING_BREAKDOWN'!H25,'3_ROUTING_BREAKDOWN'!H25,IF('3_ROUTING_BREAKDOWN'!G25&lt;&gt;'3_ROUTING_BREAKDOWN'!F25,'3_ROUTING_BREAKDOWN'!F25,""))),"")</f>
        <v/>
      </c>
      <c r="F40" s="14" t="str">
        <f>IFERROR(IF(OR('3_ROUTING_BREAKDOWN'!C25="",""),"",IF('3_ROUTING_BREAKDOWN'!I25&lt;&gt;'3_ROUTING_BREAKDOWN'!H25,'3_ROUTING_BREAKDOWN'!I25,IF('3_ROUTING_BREAKDOWN'!G25&lt;&gt;'3_ROUTING_BREAKDOWN'!F25,'3_ROUTING_BREAKDOWN'!G25,""))),"")</f>
        <v/>
      </c>
      <c r="G40" s="15" t="str">
        <f>IFERROR(IF(OR('3_ROUTING_BREAKDOWN'!C25="",'3_ROUTING_BREAKDOWN'!P67=""),"",'3_ROUTING_BREAKDOWN'!P67),"")</f>
        <v/>
      </c>
      <c r="H40" s="16" t="str">
        <f t="shared" si="1"/>
        <v/>
      </c>
    </row>
    <row r="41" spans="1:8" x14ac:dyDescent="0.25">
      <c r="A41" s="7">
        <v>38</v>
      </c>
      <c r="B41" s="7" t="str">
        <f>IFERROR(IF('3_ROUTING_BREAKDOWN'!B26="","",'3_ROUTING_BREAKDOWN'!B26),"")</f>
        <v/>
      </c>
      <c r="C41" s="7" t="str">
        <f>IFERROR(IF('3_ROUTING_BREAKDOWN'!C26="","",'3_ROUTING_BREAKDOWN'!C26),"")</f>
        <v/>
      </c>
      <c r="D41" s="7" t="str">
        <f>IFERROR(IF(OR('3_ROUTING_BREAKDOWN'!C26="",""),"",IF('3_ROUTING_BREAKDOWN'!I26&lt;'3_ROUTING_BREAKDOWN'!H26,"Yield Drop ("&amp;TEXT('3_ROUTING_BREAKDOWN'!H26,"0.0%")&amp;" ➔ "&amp;TEXT('3_ROUTING_BREAKDOWN'!I26,"0.0%")&amp;")",IF('3_ROUTING_BREAKDOWN'!I26&gt;'3_ROUTING_BREAKDOWN'!H26,"Yield Improvement ("&amp;TEXT('3_ROUTING_BREAKDOWN'!H26,"0.0%")&amp;" ➔ "&amp;TEXT('3_ROUTING_BREAKDOWN'!I26,"0.0%")&amp;")",IF('3_ROUTING_BREAKDOWN'!G26&lt;'3_ROUTING_BREAKDOWN'!F26,"Capacity Drop ("&amp;TEXT('3_ROUTING_BREAKDOWN'!F26,"#,##0")&amp;" ➔ "&amp;TEXT('3_ROUTING_BREAKDOWN'!G26,"#,##0")&amp;" Unit/hr)",IF('3_ROUTING_BREAKDOWN'!G26&gt;'3_ROUTING_BREAKDOWN'!F26,"Capacity Improvement ("&amp;TEXT('3_ROUTING_BREAKDOWN'!F26,"#,##0")&amp;" ➔ "&amp;TEXT('3_ROUTING_BREAKDOWN'!G26,"#,##0")&amp;" Unit/hr)",""))))),"")</f>
        <v/>
      </c>
      <c r="E41" s="14" t="str">
        <f>IFERROR(IF(OR('3_ROUTING_BREAKDOWN'!C26="",""),"",IF('3_ROUTING_BREAKDOWN'!I26&lt;&gt;'3_ROUTING_BREAKDOWN'!H26,'3_ROUTING_BREAKDOWN'!H26,IF('3_ROUTING_BREAKDOWN'!G26&lt;&gt;'3_ROUTING_BREAKDOWN'!F26,'3_ROUTING_BREAKDOWN'!F26,""))),"")</f>
        <v/>
      </c>
      <c r="F41" s="14" t="str">
        <f>IFERROR(IF(OR('3_ROUTING_BREAKDOWN'!C26="",""),"",IF('3_ROUTING_BREAKDOWN'!I26&lt;&gt;'3_ROUTING_BREAKDOWN'!H26,'3_ROUTING_BREAKDOWN'!I26,IF('3_ROUTING_BREAKDOWN'!G26&lt;&gt;'3_ROUTING_BREAKDOWN'!F26,'3_ROUTING_BREAKDOWN'!G26,""))),"")</f>
        <v/>
      </c>
      <c r="G41" s="15" t="str">
        <f>IFERROR(IF(OR('3_ROUTING_BREAKDOWN'!C26="",'3_ROUTING_BREAKDOWN'!P68=""),"",'3_ROUTING_BREAKDOWN'!P68),"")</f>
        <v/>
      </c>
      <c r="H41" s="16" t="str">
        <f t="shared" si="1"/>
        <v/>
      </c>
    </row>
    <row r="42" spans="1:8" x14ac:dyDescent="0.25">
      <c r="A42" s="7">
        <v>39</v>
      </c>
      <c r="B42" s="7" t="str">
        <f>IFERROR(IF('3_ROUTING_BREAKDOWN'!B27="","",'3_ROUTING_BREAKDOWN'!B27),"")</f>
        <v/>
      </c>
      <c r="C42" s="7" t="str">
        <f>IFERROR(IF('3_ROUTING_BREAKDOWN'!C27="","",'3_ROUTING_BREAKDOWN'!C27),"")</f>
        <v/>
      </c>
      <c r="D42" s="7" t="str">
        <f>IFERROR(IF(OR('3_ROUTING_BREAKDOWN'!C27="",""),"",IF('3_ROUTING_BREAKDOWN'!I27&lt;'3_ROUTING_BREAKDOWN'!H27,"Yield Drop ("&amp;TEXT('3_ROUTING_BREAKDOWN'!H27,"0.0%")&amp;" ➔ "&amp;TEXT('3_ROUTING_BREAKDOWN'!I27,"0.0%")&amp;")",IF('3_ROUTING_BREAKDOWN'!I27&gt;'3_ROUTING_BREAKDOWN'!H27,"Yield Improvement ("&amp;TEXT('3_ROUTING_BREAKDOWN'!H27,"0.0%")&amp;" ➔ "&amp;TEXT('3_ROUTING_BREAKDOWN'!I27,"0.0%")&amp;")",IF('3_ROUTING_BREAKDOWN'!G27&lt;'3_ROUTING_BREAKDOWN'!F27,"Capacity Drop ("&amp;TEXT('3_ROUTING_BREAKDOWN'!F27,"#,##0")&amp;" ➔ "&amp;TEXT('3_ROUTING_BREAKDOWN'!G27,"#,##0")&amp;" Unit/hr)",IF('3_ROUTING_BREAKDOWN'!G27&gt;'3_ROUTING_BREAKDOWN'!F27,"Capacity Improvement ("&amp;TEXT('3_ROUTING_BREAKDOWN'!F27,"#,##0")&amp;" ➔ "&amp;TEXT('3_ROUTING_BREAKDOWN'!G27,"#,##0")&amp;" Unit/hr)",""))))),"")</f>
        <v/>
      </c>
      <c r="E42" s="14" t="str">
        <f>IFERROR(IF(OR('3_ROUTING_BREAKDOWN'!C27="",""),"",IF('3_ROUTING_BREAKDOWN'!I27&lt;&gt;'3_ROUTING_BREAKDOWN'!H27,'3_ROUTING_BREAKDOWN'!H27,IF('3_ROUTING_BREAKDOWN'!G27&lt;&gt;'3_ROUTING_BREAKDOWN'!F27,'3_ROUTING_BREAKDOWN'!F27,""))),"")</f>
        <v/>
      </c>
      <c r="F42" s="14" t="str">
        <f>IFERROR(IF(OR('3_ROUTING_BREAKDOWN'!C27="",""),"",IF('3_ROUTING_BREAKDOWN'!I27&lt;&gt;'3_ROUTING_BREAKDOWN'!H27,'3_ROUTING_BREAKDOWN'!I27,IF('3_ROUTING_BREAKDOWN'!G27&lt;&gt;'3_ROUTING_BREAKDOWN'!F27,'3_ROUTING_BREAKDOWN'!G27,""))),"")</f>
        <v/>
      </c>
      <c r="G42" s="15" t="str">
        <f>IFERROR(IF(OR('3_ROUTING_BREAKDOWN'!C27="",'3_ROUTING_BREAKDOWN'!P69=""),"",'3_ROUTING_BREAKDOWN'!P69),"")</f>
        <v/>
      </c>
      <c r="H42" s="16" t="str">
        <f t="shared" si="1"/>
        <v/>
      </c>
    </row>
    <row r="43" spans="1:8" x14ac:dyDescent="0.25">
      <c r="A43" s="7">
        <v>40</v>
      </c>
      <c r="B43" s="7" t="str">
        <f>IFERROR(IF('3_ROUTING_BREAKDOWN'!B28="","",'3_ROUTING_BREAKDOWN'!B28),"")</f>
        <v/>
      </c>
      <c r="C43" s="7" t="str">
        <f>IFERROR(IF('3_ROUTING_BREAKDOWN'!C28="","",'3_ROUTING_BREAKDOWN'!C28),"")</f>
        <v/>
      </c>
      <c r="D43" s="7" t="str">
        <f>IFERROR(IF(OR('3_ROUTING_BREAKDOWN'!C28="",""),"",IF('3_ROUTING_BREAKDOWN'!I28&lt;'3_ROUTING_BREAKDOWN'!H28,"Yield Drop ("&amp;TEXT('3_ROUTING_BREAKDOWN'!H28,"0.0%")&amp;" ➔ "&amp;TEXT('3_ROUTING_BREAKDOWN'!I28,"0.0%")&amp;")",IF('3_ROUTING_BREAKDOWN'!I28&gt;'3_ROUTING_BREAKDOWN'!H28,"Yield Improvement ("&amp;TEXT('3_ROUTING_BREAKDOWN'!H28,"0.0%")&amp;" ➔ "&amp;TEXT('3_ROUTING_BREAKDOWN'!I28,"0.0%")&amp;")",IF('3_ROUTING_BREAKDOWN'!G28&lt;'3_ROUTING_BREAKDOWN'!F28,"Capacity Drop ("&amp;TEXT('3_ROUTING_BREAKDOWN'!F28,"#,##0")&amp;" ➔ "&amp;TEXT('3_ROUTING_BREAKDOWN'!G28,"#,##0")&amp;" Unit/hr)",IF('3_ROUTING_BREAKDOWN'!G28&gt;'3_ROUTING_BREAKDOWN'!F28,"Capacity Improvement ("&amp;TEXT('3_ROUTING_BREAKDOWN'!F28,"#,##0")&amp;" ➔ "&amp;TEXT('3_ROUTING_BREAKDOWN'!G28,"#,##0")&amp;" Unit/hr)",""))))),"")</f>
        <v/>
      </c>
      <c r="E43" s="14" t="str">
        <f>IFERROR(IF(OR('3_ROUTING_BREAKDOWN'!C28="",""),"",IF('3_ROUTING_BREAKDOWN'!I28&lt;&gt;'3_ROUTING_BREAKDOWN'!H28,'3_ROUTING_BREAKDOWN'!H28,IF('3_ROUTING_BREAKDOWN'!G28&lt;&gt;'3_ROUTING_BREAKDOWN'!F28,'3_ROUTING_BREAKDOWN'!F28,""))),"")</f>
        <v/>
      </c>
      <c r="F43" s="14" t="str">
        <f>IFERROR(IF(OR('3_ROUTING_BREAKDOWN'!C28="",""),"",IF('3_ROUTING_BREAKDOWN'!I28&lt;&gt;'3_ROUTING_BREAKDOWN'!H28,'3_ROUTING_BREAKDOWN'!I28,IF('3_ROUTING_BREAKDOWN'!G28&lt;&gt;'3_ROUTING_BREAKDOWN'!F28,'3_ROUTING_BREAKDOWN'!G28,""))),"")</f>
        <v/>
      </c>
      <c r="G43" s="15" t="str">
        <f>IFERROR(IF(OR('3_ROUTING_BREAKDOWN'!C28="",'3_ROUTING_BREAKDOWN'!P70=""),"",'3_ROUTING_BREAKDOWN'!P70),"")</f>
        <v/>
      </c>
      <c r="H43" s="16" t="str">
        <f t="shared" si="1"/>
        <v/>
      </c>
    </row>
    <row r="44" spans="1:8" x14ac:dyDescent="0.25">
      <c r="A44" s="7">
        <v>41</v>
      </c>
      <c r="B44" s="7" t="str">
        <f>IFERROR(IF('3_ROUTING_BREAKDOWN'!B29="","",'3_ROUTING_BREAKDOWN'!B29),"")</f>
        <v/>
      </c>
      <c r="C44" s="7" t="str">
        <f>IFERROR(IF('3_ROUTING_BREAKDOWN'!C29="","",'3_ROUTING_BREAKDOWN'!C29),"")</f>
        <v/>
      </c>
      <c r="D44" s="7" t="str">
        <f>IFERROR(IF(OR('3_ROUTING_BREAKDOWN'!C29="",""),"",IF('3_ROUTING_BREAKDOWN'!I29&lt;'3_ROUTING_BREAKDOWN'!H29,"Yield Drop ("&amp;TEXT('3_ROUTING_BREAKDOWN'!H29,"0.0%")&amp;" ➔ "&amp;TEXT('3_ROUTING_BREAKDOWN'!I29,"0.0%")&amp;")",IF('3_ROUTING_BREAKDOWN'!I29&gt;'3_ROUTING_BREAKDOWN'!H29,"Yield Improvement ("&amp;TEXT('3_ROUTING_BREAKDOWN'!H29,"0.0%")&amp;" ➔ "&amp;TEXT('3_ROUTING_BREAKDOWN'!I29,"0.0%")&amp;")",IF('3_ROUTING_BREAKDOWN'!G29&lt;'3_ROUTING_BREAKDOWN'!F29,"Capacity Drop ("&amp;TEXT('3_ROUTING_BREAKDOWN'!F29,"#,##0")&amp;" ➔ "&amp;TEXT('3_ROUTING_BREAKDOWN'!G29,"#,##0")&amp;" Unit/hr)",IF('3_ROUTING_BREAKDOWN'!G29&gt;'3_ROUTING_BREAKDOWN'!F29,"Capacity Improvement ("&amp;TEXT('3_ROUTING_BREAKDOWN'!F29,"#,##0")&amp;" ➔ "&amp;TEXT('3_ROUTING_BREAKDOWN'!G29,"#,##0")&amp;" Unit/hr)",""))))),"")</f>
        <v/>
      </c>
      <c r="E44" s="14" t="str">
        <f>IFERROR(IF(OR('3_ROUTING_BREAKDOWN'!C29="",""),"",IF('3_ROUTING_BREAKDOWN'!I29&lt;&gt;'3_ROUTING_BREAKDOWN'!H29,'3_ROUTING_BREAKDOWN'!H29,IF('3_ROUTING_BREAKDOWN'!G29&lt;&gt;'3_ROUTING_BREAKDOWN'!F29,'3_ROUTING_BREAKDOWN'!F29,""))),"")</f>
        <v/>
      </c>
      <c r="F44" s="14" t="str">
        <f>IFERROR(IF(OR('3_ROUTING_BREAKDOWN'!C29="",""),"",IF('3_ROUTING_BREAKDOWN'!I29&lt;&gt;'3_ROUTING_BREAKDOWN'!H29,'3_ROUTING_BREAKDOWN'!I29,IF('3_ROUTING_BREAKDOWN'!G29&lt;&gt;'3_ROUTING_BREAKDOWN'!F29,'3_ROUTING_BREAKDOWN'!G29,""))),"")</f>
        <v/>
      </c>
      <c r="G44" s="15" t="str">
        <f>IFERROR(IF(OR('3_ROUTING_BREAKDOWN'!C29="",'3_ROUTING_BREAKDOWN'!P71=""),"",'3_ROUTING_BREAKDOWN'!P71),"")</f>
        <v/>
      </c>
      <c r="H44" s="16" t="str">
        <f t="shared" si="1"/>
        <v/>
      </c>
    </row>
    <row r="45" spans="1:8" x14ac:dyDescent="0.25">
      <c r="A45" s="7">
        <v>42</v>
      </c>
      <c r="B45" s="7" t="str">
        <f>IFERROR(IF('3_ROUTING_BREAKDOWN'!B30="","",'3_ROUTING_BREAKDOWN'!B30),"")</f>
        <v/>
      </c>
      <c r="C45" s="7" t="str">
        <f>IFERROR(IF('3_ROUTING_BREAKDOWN'!C30="","",'3_ROUTING_BREAKDOWN'!C30),"")</f>
        <v/>
      </c>
      <c r="D45" s="7" t="str">
        <f>IFERROR(IF(OR('3_ROUTING_BREAKDOWN'!C30="",""),"",IF('3_ROUTING_BREAKDOWN'!I30&lt;'3_ROUTING_BREAKDOWN'!H30,"Yield Drop ("&amp;TEXT('3_ROUTING_BREAKDOWN'!H30,"0.0%")&amp;" ➔ "&amp;TEXT('3_ROUTING_BREAKDOWN'!I30,"0.0%")&amp;")",IF('3_ROUTING_BREAKDOWN'!I30&gt;'3_ROUTING_BREAKDOWN'!H30,"Yield Improvement ("&amp;TEXT('3_ROUTING_BREAKDOWN'!H30,"0.0%")&amp;" ➔ "&amp;TEXT('3_ROUTING_BREAKDOWN'!I30,"0.0%")&amp;")",IF('3_ROUTING_BREAKDOWN'!G30&lt;'3_ROUTING_BREAKDOWN'!F30,"Capacity Drop ("&amp;TEXT('3_ROUTING_BREAKDOWN'!F30,"#,##0")&amp;" ➔ "&amp;TEXT('3_ROUTING_BREAKDOWN'!G30,"#,##0")&amp;" Unit/hr)",IF('3_ROUTING_BREAKDOWN'!G30&gt;'3_ROUTING_BREAKDOWN'!F30,"Capacity Improvement ("&amp;TEXT('3_ROUTING_BREAKDOWN'!F30,"#,##0")&amp;" ➔ "&amp;TEXT('3_ROUTING_BREAKDOWN'!G30,"#,##0")&amp;" Unit/hr)",""))))),"")</f>
        <v/>
      </c>
      <c r="E45" s="14" t="str">
        <f>IFERROR(IF(OR('3_ROUTING_BREAKDOWN'!C30="",""),"",IF('3_ROUTING_BREAKDOWN'!I30&lt;&gt;'3_ROUTING_BREAKDOWN'!H30,'3_ROUTING_BREAKDOWN'!H30,IF('3_ROUTING_BREAKDOWN'!G30&lt;&gt;'3_ROUTING_BREAKDOWN'!F30,'3_ROUTING_BREAKDOWN'!F30,""))),"")</f>
        <v/>
      </c>
      <c r="F45" s="14" t="str">
        <f>IFERROR(IF(OR('3_ROUTING_BREAKDOWN'!C30="",""),"",IF('3_ROUTING_BREAKDOWN'!I30&lt;&gt;'3_ROUTING_BREAKDOWN'!H30,'3_ROUTING_BREAKDOWN'!I30,IF('3_ROUTING_BREAKDOWN'!G30&lt;&gt;'3_ROUTING_BREAKDOWN'!F30,'3_ROUTING_BREAKDOWN'!G30,""))),"")</f>
        <v/>
      </c>
      <c r="G45" s="15" t="str">
        <f>IFERROR(IF(OR('3_ROUTING_BREAKDOWN'!C30="",'3_ROUTING_BREAKDOWN'!P72=""),"",'3_ROUTING_BREAKDOWN'!P72),"")</f>
        <v/>
      </c>
      <c r="H45" s="16" t="str">
        <f t="shared" si="1"/>
        <v/>
      </c>
    </row>
    <row r="46" spans="1:8" x14ac:dyDescent="0.25">
      <c r="A46" s="7">
        <v>43</v>
      </c>
      <c r="B46" s="7" t="str">
        <f>IFERROR(IF('3_ROUTING_BREAKDOWN'!B31="","",'3_ROUTING_BREAKDOWN'!B31),"")</f>
        <v/>
      </c>
      <c r="C46" s="7" t="str">
        <f>IFERROR(IF('3_ROUTING_BREAKDOWN'!C31="","",'3_ROUTING_BREAKDOWN'!C31),"")</f>
        <v/>
      </c>
      <c r="D46" s="7" t="str">
        <f>IFERROR(IF(OR('3_ROUTING_BREAKDOWN'!C31="",""),"",IF('3_ROUTING_BREAKDOWN'!I31&lt;'3_ROUTING_BREAKDOWN'!H31,"Yield Drop ("&amp;TEXT('3_ROUTING_BREAKDOWN'!H31,"0.0%")&amp;" ➔ "&amp;TEXT('3_ROUTING_BREAKDOWN'!I31,"0.0%")&amp;")",IF('3_ROUTING_BREAKDOWN'!I31&gt;'3_ROUTING_BREAKDOWN'!H31,"Yield Improvement ("&amp;TEXT('3_ROUTING_BREAKDOWN'!H31,"0.0%")&amp;" ➔ "&amp;TEXT('3_ROUTING_BREAKDOWN'!I31,"0.0%")&amp;")",IF('3_ROUTING_BREAKDOWN'!G31&lt;'3_ROUTING_BREAKDOWN'!F31,"Capacity Drop ("&amp;TEXT('3_ROUTING_BREAKDOWN'!F31,"#,##0")&amp;" ➔ "&amp;TEXT('3_ROUTING_BREAKDOWN'!G31,"#,##0")&amp;" Unit/hr)",IF('3_ROUTING_BREAKDOWN'!G31&gt;'3_ROUTING_BREAKDOWN'!F31,"Capacity Improvement ("&amp;TEXT('3_ROUTING_BREAKDOWN'!F31,"#,##0")&amp;" ➔ "&amp;TEXT('3_ROUTING_BREAKDOWN'!G31,"#,##0")&amp;" Unit/hr)",""))))),"")</f>
        <v/>
      </c>
      <c r="E46" s="14" t="str">
        <f>IFERROR(IF(OR('3_ROUTING_BREAKDOWN'!C31="",""),"",IF('3_ROUTING_BREAKDOWN'!I31&lt;&gt;'3_ROUTING_BREAKDOWN'!H31,'3_ROUTING_BREAKDOWN'!H31,IF('3_ROUTING_BREAKDOWN'!G31&lt;&gt;'3_ROUTING_BREAKDOWN'!F31,'3_ROUTING_BREAKDOWN'!F31,""))),"")</f>
        <v/>
      </c>
      <c r="F46" s="14" t="str">
        <f>IFERROR(IF(OR('3_ROUTING_BREAKDOWN'!C31="",""),"",IF('3_ROUTING_BREAKDOWN'!I31&lt;&gt;'3_ROUTING_BREAKDOWN'!H31,'3_ROUTING_BREAKDOWN'!I31,IF('3_ROUTING_BREAKDOWN'!G31&lt;&gt;'3_ROUTING_BREAKDOWN'!F31,'3_ROUTING_BREAKDOWN'!G31,""))),"")</f>
        <v/>
      </c>
      <c r="G46" s="15" t="str">
        <f>IFERROR(IF(OR('3_ROUTING_BREAKDOWN'!C31="",'3_ROUTING_BREAKDOWN'!P73=""),"",'3_ROUTING_BREAKDOWN'!P73),"")</f>
        <v/>
      </c>
      <c r="H46" s="16" t="str">
        <f t="shared" si="1"/>
        <v/>
      </c>
    </row>
    <row r="47" spans="1:8" x14ac:dyDescent="0.25">
      <c r="A47" s="7">
        <v>44</v>
      </c>
      <c r="B47" s="7" t="str">
        <f>IFERROR(IF('3_ROUTING_BREAKDOWN'!B32="","",'3_ROUTING_BREAKDOWN'!B32),"")</f>
        <v/>
      </c>
      <c r="C47" s="7" t="str">
        <f>IFERROR(IF('3_ROUTING_BREAKDOWN'!C32="","",'3_ROUTING_BREAKDOWN'!C32),"")</f>
        <v/>
      </c>
      <c r="D47" s="7" t="str">
        <f>IFERROR(IF(OR('3_ROUTING_BREAKDOWN'!C32="",""),"",IF('3_ROUTING_BREAKDOWN'!I32&lt;'3_ROUTING_BREAKDOWN'!H32,"Yield Drop ("&amp;TEXT('3_ROUTING_BREAKDOWN'!H32,"0.0%")&amp;" ➔ "&amp;TEXT('3_ROUTING_BREAKDOWN'!I32,"0.0%")&amp;")",IF('3_ROUTING_BREAKDOWN'!I32&gt;'3_ROUTING_BREAKDOWN'!H32,"Yield Improvement ("&amp;TEXT('3_ROUTING_BREAKDOWN'!H32,"0.0%")&amp;" ➔ "&amp;TEXT('3_ROUTING_BREAKDOWN'!I32,"0.0%")&amp;")",IF('3_ROUTING_BREAKDOWN'!G32&lt;'3_ROUTING_BREAKDOWN'!F32,"Capacity Drop ("&amp;TEXT('3_ROUTING_BREAKDOWN'!F32,"#,##0")&amp;" ➔ "&amp;TEXT('3_ROUTING_BREAKDOWN'!G32,"#,##0")&amp;" Unit/hr)",IF('3_ROUTING_BREAKDOWN'!G32&gt;'3_ROUTING_BREAKDOWN'!F32,"Capacity Improvement ("&amp;TEXT('3_ROUTING_BREAKDOWN'!F32,"#,##0")&amp;" ➔ "&amp;TEXT('3_ROUTING_BREAKDOWN'!G32,"#,##0")&amp;" Unit/hr)",""))))),"")</f>
        <v/>
      </c>
      <c r="E47" s="14" t="str">
        <f>IFERROR(IF(OR('3_ROUTING_BREAKDOWN'!C32="",""),"",IF('3_ROUTING_BREAKDOWN'!I32&lt;&gt;'3_ROUTING_BREAKDOWN'!H32,'3_ROUTING_BREAKDOWN'!H32,IF('3_ROUTING_BREAKDOWN'!G32&lt;&gt;'3_ROUTING_BREAKDOWN'!F32,'3_ROUTING_BREAKDOWN'!F32,""))),"")</f>
        <v/>
      </c>
      <c r="F47" s="14" t="str">
        <f>IFERROR(IF(OR('3_ROUTING_BREAKDOWN'!C32="",""),"",IF('3_ROUTING_BREAKDOWN'!I32&lt;&gt;'3_ROUTING_BREAKDOWN'!H32,'3_ROUTING_BREAKDOWN'!I32,IF('3_ROUTING_BREAKDOWN'!G32&lt;&gt;'3_ROUTING_BREAKDOWN'!F32,'3_ROUTING_BREAKDOWN'!G32,""))),"")</f>
        <v/>
      </c>
      <c r="G47" s="15" t="str">
        <f>IFERROR(IF(OR('3_ROUTING_BREAKDOWN'!C32="",'3_ROUTING_BREAKDOWN'!P74=""),"",'3_ROUTING_BREAKDOWN'!P74),"")</f>
        <v/>
      </c>
      <c r="H47" s="16" t="str">
        <f t="shared" si="1"/>
        <v/>
      </c>
    </row>
    <row r="48" spans="1:8" x14ac:dyDescent="0.25">
      <c r="A48" s="7">
        <v>45</v>
      </c>
      <c r="B48" s="7" t="str">
        <f>IFERROR(IF('3_ROUTING_BREAKDOWN'!B33="","",'3_ROUTING_BREAKDOWN'!B33),"")</f>
        <v/>
      </c>
      <c r="C48" s="7" t="str">
        <f>IFERROR(IF('3_ROUTING_BREAKDOWN'!C33="","",'3_ROUTING_BREAKDOWN'!C33),"")</f>
        <v/>
      </c>
      <c r="D48" s="7" t="str">
        <f>IFERROR(IF(OR('3_ROUTING_BREAKDOWN'!C33="",""),"",IF('3_ROUTING_BREAKDOWN'!I33&lt;'3_ROUTING_BREAKDOWN'!H33,"Yield Drop ("&amp;TEXT('3_ROUTING_BREAKDOWN'!H33,"0.0%")&amp;" ➔ "&amp;TEXT('3_ROUTING_BREAKDOWN'!I33,"0.0%")&amp;")",IF('3_ROUTING_BREAKDOWN'!I33&gt;'3_ROUTING_BREAKDOWN'!H33,"Yield Improvement ("&amp;TEXT('3_ROUTING_BREAKDOWN'!H33,"0.0%")&amp;" ➔ "&amp;TEXT('3_ROUTING_BREAKDOWN'!I33,"0.0%")&amp;")",IF('3_ROUTING_BREAKDOWN'!G33&lt;'3_ROUTING_BREAKDOWN'!F33,"Capacity Drop ("&amp;TEXT('3_ROUTING_BREAKDOWN'!F33,"#,##0")&amp;" ➔ "&amp;TEXT('3_ROUTING_BREAKDOWN'!G33,"#,##0")&amp;" Unit/hr)",IF('3_ROUTING_BREAKDOWN'!G33&gt;'3_ROUTING_BREAKDOWN'!F33,"Capacity Improvement ("&amp;TEXT('3_ROUTING_BREAKDOWN'!F33,"#,##0")&amp;" ➔ "&amp;TEXT('3_ROUTING_BREAKDOWN'!G33,"#,##0")&amp;" Unit/hr)",""))))),"")</f>
        <v/>
      </c>
      <c r="E48" s="14" t="str">
        <f>IFERROR(IF(OR('3_ROUTING_BREAKDOWN'!C33="",""),"",IF('3_ROUTING_BREAKDOWN'!I33&lt;&gt;'3_ROUTING_BREAKDOWN'!H33,'3_ROUTING_BREAKDOWN'!H33,IF('3_ROUTING_BREAKDOWN'!G33&lt;&gt;'3_ROUTING_BREAKDOWN'!F33,'3_ROUTING_BREAKDOWN'!F33,""))),"")</f>
        <v/>
      </c>
      <c r="F48" s="14" t="str">
        <f>IFERROR(IF(OR('3_ROUTING_BREAKDOWN'!C33="",""),"",IF('3_ROUTING_BREAKDOWN'!I33&lt;&gt;'3_ROUTING_BREAKDOWN'!H33,'3_ROUTING_BREAKDOWN'!I33,IF('3_ROUTING_BREAKDOWN'!G33&lt;&gt;'3_ROUTING_BREAKDOWN'!F33,'3_ROUTING_BREAKDOWN'!G33,""))),"")</f>
        <v/>
      </c>
      <c r="G48" s="15" t="str">
        <f>IFERROR(IF(OR('3_ROUTING_BREAKDOWN'!C33="",'3_ROUTING_BREAKDOWN'!P75=""),"",'3_ROUTING_BREAKDOWN'!P75),"")</f>
        <v/>
      </c>
      <c r="H48" s="16" t="str">
        <f t="shared" si="1"/>
        <v/>
      </c>
    </row>
    <row r="49" spans="1:8" x14ac:dyDescent="0.25">
      <c r="A49" s="7">
        <v>46</v>
      </c>
      <c r="B49" s="7" t="str">
        <f>IFERROR(IF('3_ROUTING_BREAKDOWN'!B34="","",'3_ROUTING_BREAKDOWN'!B34),"")</f>
        <v/>
      </c>
      <c r="C49" s="7" t="str">
        <f>IFERROR(IF('3_ROUTING_BREAKDOWN'!C34="","",'3_ROUTING_BREAKDOWN'!C34),"")</f>
        <v/>
      </c>
      <c r="D49" s="7" t="str">
        <f>IFERROR(IF(OR('3_ROUTING_BREAKDOWN'!C34="",""),"",IF('3_ROUTING_BREAKDOWN'!I34&lt;'3_ROUTING_BREAKDOWN'!H34,"Yield Drop ("&amp;TEXT('3_ROUTING_BREAKDOWN'!H34,"0.0%")&amp;" ➔ "&amp;TEXT('3_ROUTING_BREAKDOWN'!I34,"0.0%")&amp;")",IF('3_ROUTING_BREAKDOWN'!I34&gt;'3_ROUTING_BREAKDOWN'!H34,"Yield Improvement ("&amp;TEXT('3_ROUTING_BREAKDOWN'!H34,"0.0%")&amp;" ➔ "&amp;TEXT('3_ROUTING_BREAKDOWN'!I34,"0.0%")&amp;")",IF('3_ROUTING_BREAKDOWN'!G34&lt;'3_ROUTING_BREAKDOWN'!F34,"Capacity Drop ("&amp;TEXT('3_ROUTING_BREAKDOWN'!F34,"#,##0")&amp;" ➔ "&amp;TEXT('3_ROUTING_BREAKDOWN'!G34,"#,##0")&amp;" Unit/hr)",IF('3_ROUTING_BREAKDOWN'!G34&gt;'3_ROUTING_BREAKDOWN'!F34,"Capacity Improvement ("&amp;TEXT('3_ROUTING_BREAKDOWN'!F34,"#,##0")&amp;" ➔ "&amp;TEXT('3_ROUTING_BREAKDOWN'!G34,"#,##0")&amp;" Unit/hr)",""))))),"")</f>
        <v/>
      </c>
      <c r="E49" s="14" t="str">
        <f>IFERROR(IF(OR('3_ROUTING_BREAKDOWN'!C34="",""),"",IF('3_ROUTING_BREAKDOWN'!I34&lt;&gt;'3_ROUTING_BREAKDOWN'!H34,'3_ROUTING_BREAKDOWN'!H34,IF('3_ROUTING_BREAKDOWN'!G34&lt;&gt;'3_ROUTING_BREAKDOWN'!F34,'3_ROUTING_BREAKDOWN'!F34,""))),"")</f>
        <v/>
      </c>
      <c r="F49" s="14" t="str">
        <f>IFERROR(IF(OR('3_ROUTING_BREAKDOWN'!C34="",""),"",IF('3_ROUTING_BREAKDOWN'!I34&lt;&gt;'3_ROUTING_BREAKDOWN'!H34,'3_ROUTING_BREAKDOWN'!I34,IF('3_ROUTING_BREAKDOWN'!G34&lt;&gt;'3_ROUTING_BREAKDOWN'!F34,'3_ROUTING_BREAKDOWN'!G34,""))),"")</f>
        <v/>
      </c>
      <c r="G49" s="15" t="str">
        <f>IFERROR(IF(OR('3_ROUTING_BREAKDOWN'!C34="",'3_ROUTING_BREAKDOWN'!P76=""),"",'3_ROUTING_BREAKDOWN'!P76),"")</f>
        <v/>
      </c>
      <c r="H49" s="16" t="str">
        <f t="shared" si="1"/>
        <v/>
      </c>
    </row>
    <row r="50" spans="1:8" x14ac:dyDescent="0.25">
      <c r="A50" s="7">
        <v>47</v>
      </c>
      <c r="B50" s="7" t="str">
        <f>IFERROR(IF('3_ROUTING_BREAKDOWN'!B35="","",'3_ROUTING_BREAKDOWN'!B35),"")</f>
        <v/>
      </c>
      <c r="C50" s="7" t="str">
        <f>IFERROR(IF('3_ROUTING_BREAKDOWN'!C35="","",'3_ROUTING_BREAKDOWN'!C35),"")</f>
        <v/>
      </c>
      <c r="D50" s="7" t="str">
        <f>IFERROR(IF(OR('3_ROUTING_BREAKDOWN'!C35="",""),"",IF('3_ROUTING_BREAKDOWN'!I35&lt;'3_ROUTING_BREAKDOWN'!H35,"Yield Drop ("&amp;TEXT('3_ROUTING_BREAKDOWN'!H35,"0.0%")&amp;" ➔ "&amp;TEXT('3_ROUTING_BREAKDOWN'!I35,"0.0%")&amp;")",IF('3_ROUTING_BREAKDOWN'!I35&gt;'3_ROUTING_BREAKDOWN'!H35,"Yield Improvement ("&amp;TEXT('3_ROUTING_BREAKDOWN'!H35,"0.0%")&amp;" ➔ "&amp;TEXT('3_ROUTING_BREAKDOWN'!I35,"0.0%")&amp;")",IF('3_ROUTING_BREAKDOWN'!G35&lt;'3_ROUTING_BREAKDOWN'!F35,"Capacity Drop ("&amp;TEXT('3_ROUTING_BREAKDOWN'!F35,"#,##0")&amp;" ➔ "&amp;TEXT('3_ROUTING_BREAKDOWN'!G35,"#,##0")&amp;" Unit/hr)",IF('3_ROUTING_BREAKDOWN'!G35&gt;'3_ROUTING_BREAKDOWN'!F35,"Capacity Improvement ("&amp;TEXT('3_ROUTING_BREAKDOWN'!F35,"#,##0")&amp;" ➔ "&amp;TEXT('3_ROUTING_BREAKDOWN'!G35,"#,##0")&amp;" Unit/hr)",""))))),"")</f>
        <v/>
      </c>
      <c r="E50" s="14" t="str">
        <f>IFERROR(IF(OR('3_ROUTING_BREAKDOWN'!C35="",""),"",IF('3_ROUTING_BREAKDOWN'!I35&lt;&gt;'3_ROUTING_BREAKDOWN'!H35,'3_ROUTING_BREAKDOWN'!H35,IF('3_ROUTING_BREAKDOWN'!G35&lt;&gt;'3_ROUTING_BREAKDOWN'!F35,'3_ROUTING_BREAKDOWN'!F35,""))),"")</f>
        <v/>
      </c>
      <c r="F50" s="14" t="str">
        <f>IFERROR(IF(OR('3_ROUTING_BREAKDOWN'!C35="",""),"",IF('3_ROUTING_BREAKDOWN'!I35&lt;&gt;'3_ROUTING_BREAKDOWN'!H35,'3_ROUTING_BREAKDOWN'!I35,IF('3_ROUTING_BREAKDOWN'!G35&lt;&gt;'3_ROUTING_BREAKDOWN'!F35,'3_ROUTING_BREAKDOWN'!G35,""))),"")</f>
        <v/>
      </c>
      <c r="G50" s="15" t="str">
        <f>IFERROR(IF(OR('3_ROUTING_BREAKDOWN'!C35="",'3_ROUTING_BREAKDOWN'!P77=""),"",'3_ROUTING_BREAKDOWN'!P77),"")</f>
        <v/>
      </c>
      <c r="H50" s="16" t="str">
        <f t="shared" si="1"/>
        <v/>
      </c>
    </row>
    <row r="51" spans="1:8" x14ac:dyDescent="0.25">
      <c r="A51" s="7">
        <v>48</v>
      </c>
      <c r="B51" s="7" t="str">
        <f>IFERROR(IF('3_ROUTING_BREAKDOWN'!B36="","",'3_ROUTING_BREAKDOWN'!B36),"")</f>
        <v/>
      </c>
      <c r="C51" s="7" t="str">
        <f>IFERROR(IF('3_ROUTING_BREAKDOWN'!C36="","",'3_ROUTING_BREAKDOWN'!C36),"")</f>
        <v/>
      </c>
      <c r="D51" s="7" t="str">
        <f>IFERROR(IF(OR('3_ROUTING_BREAKDOWN'!C36="",""),"",IF('3_ROUTING_BREAKDOWN'!I36&lt;'3_ROUTING_BREAKDOWN'!H36,"Yield Drop ("&amp;TEXT('3_ROUTING_BREAKDOWN'!H36,"0.0%")&amp;" ➔ "&amp;TEXT('3_ROUTING_BREAKDOWN'!I36,"0.0%")&amp;")",IF('3_ROUTING_BREAKDOWN'!I36&gt;'3_ROUTING_BREAKDOWN'!H36,"Yield Improvement ("&amp;TEXT('3_ROUTING_BREAKDOWN'!H36,"0.0%")&amp;" ➔ "&amp;TEXT('3_ROUTING_BREAKDOWN'!I36,"0.0%")&amp;")",IF('3_ROUTING_BREAKDOWN'!G36&lt;'3_ROUTING_BREAKDOWN'!F36,"Capacity Drop ("&amp;TEXT('3_ROUTING_BREAKDOWN'!F36,"#,##0")&amp;" ➔ "&amp;TEXT('3_ROUTING_BREAKDOWN'!G36,"#,##0")&amp;" Unit/hr)",IF('3_ROUTING_BREAKDOWN'!G36&gt;'3_ROUTING_BREAKDOWN'!F36,"Capacity Improvement ("&amp;TEXT('3_ROUTING_BREAKDOWN'!F36,"#,##0")&amp;" ➔ "&amp;TEXT('3_ROUTING_BREAKDOWN'!G36,"#,##0")&amp;" Unit/hr)",""))))),"")</f>
        <v/>
      </c>
      <c r="E51" s="14" t="str">
        <f>IFERROR(IF(OR('3_ROUTING_BREAKDOWN'!C36="",""),"",IF('3_ROUTING_BREAKDOWN'!I36&lt;&gt;'3_ROUTING_BREAKDOWN'!H36,'3_ROUTING_BREAKDOWN'!H36,IF('3_ROUTING_BREAKDOWN'!G36&lt;&gt;'3_ROUTING_BREAKDOWN'!F36,'3_ROUTING_BREAKDOWN'!F36,""))),"")</f>
        <v/>
      </c>
      <c r="F51" s="14" t="str">
        <f>IFERROR(IF(OR('3_ROUTING_BREAKDOWN'!C36="",""),"",IF('3_ROUTING_BREAKDOWN'!I36&lt;&gt;'3_ROUTING_BREAKDOWN'!H36,'3_ROUTING_BREAKDOWN'!I36,IF('3_ROUTING_BREAKDOWN'!G36&lt;&gt;'3_ROUTING_BREAKDOWN'!F36,'3_ROUTING_BREAKDOWN'!G36,""))),"")</f>
        <v/>
      </c>
      <c r="G51" s="15" t="str">
        <f>IFERROR(IF(OR('3_ROUTING_BREAKDOWN'!C36="",'3_ROUTING_BREAKDOWN'!P78=""),"",'3_ROUTING_BREAKDOWN'!P78),"")</f>
        <v/>
      </c>
      <c r="H51" s="16" t="str">
        <f t="shared" si="1"/>
        <v/>
      </c>
    </row>
    <row r="52" spans="1:8" x14ac:dyDescent="0.25">
      <c r="A52" s="7">
        <v>49</v>
      </c>
      <c r="B52" s="7" t="str">
        <f>IFERROR(IF('3_ROUTING_BREAKDOWN'!B37="","",'3_ROUTING_BREAKDOWN'!B37),"")</f>
        <v/>
      </c>
      <c r="C52" s="7" t="str">
        <f>IFERROR(IF('3_ROUTING_BREAKDOWN'!C37="","",'3_ROUTING_BREAKDOWN'!C37),"")</f>
        <v/>
      </c>
      <c r="D52" s="7" t="str">
        <f>IFERROR(IF(OR('3_ROUTING_BREAKDOWN'!C37="",""),"",IF('3_ROUTING_BREAKDOWN'!I37&lt;'3_ROUTING_BREAKDOWN'!H37,"Yield Drop ("&amp;TEXT('3_ROUTING_BREAKDOWN'!H37,"0.0%")&amp;" ➔ "&amp;TEXT('3_ROUTING_BREAKDOWN'!I37,"0.0%")&amp;")",IF('3_ROUTING_BREAKDOWN'!I37&gt;'3_ROUTING_BREAKDOWN'!H37,"Yield Improvement ("&amp;TEXT('3_ROUTING_BREAKDOWN'!H37,"0.0%")&amp;" ➔ "&amp;TEXT('3_ROUTING_BREAKDOWN'!I37,"0.0%")&amp;")",IF('3_ROUTING_BREAKDOWN'!G37&lt;'3_ROUTING_BREAKDOWN'!F37,"Capacity Drop ("&amp;TEXT('3_ROUTING_BREAKDOWN'!F37,"#,##0")&amp;" ➔ "&amp;TEXT('3_ROUTING_BREAKDOWN'!G37,"#,##0")&amp;" Unit/hr)",IF('3_ROUTING_BREAKDOWN'!G37&gt;'3_ROUTING_BREAKDOWN'!F37,"Capacity Improvement ("&amp;TEXT('3_ROUTING_BREAKDOWN'!F37,"#,##0")&amp;" ➔ "&amp;TEXT('3_ROUTING_BREAKDOWN'!G37,"#,##0")&amp;" Unit/hr)",""))))),"")</f>
        <v/>
      </c>
      <c r="E52" s="14" t="str">
        <f>IFERROR(IF(OR('3_ROUTING_BREAKDOWN'!C37="",""),"",IF('3_ROUTING_BREAKDOWN'!I37&lt;&gt;'3_ROUTING_BREAKDOWN'!H37,'3_ROUTING_BREAKDOWN'!H37,IF('3_ROUTING_BREAKDOWN'!G37&lt;&gt;'3_ROUTING_BREAKDOWN'!F37,'3_ROUTING_BREAKDOWN'!F37,""))),"")</f>
        <v/>
      </c>
      <c r="F52" s="14" t="str">
        <f>IFERROR(IF(OR('3_ROUTING_BREAKDOWN'!C37="",""),"",IF('3_ROUTING_BREAKDOWN'!I37&lt;&gt;'3_ROUTING_BREAKDOWN'!H37,'3_ROUTING_BREAKDOWN'!I37,IF('3_ROUTING_BREAKDOWN'!G37&lt;&gt;'3_ROUTING_BREAKDOWN'!F37,'3_ROUTING_BREAKDOWN'!G37,""))),"")</f>
        <v/>
      </c>
      <c r="G52" s="15" t="str">
        <f>IFERROR(IF(OR('3_ROUTING_BREAKDOWN'!C37="",'3_ROUTING_BREAKDOWN'!P79=""),"",'3_ROUTING_BREAKDOWN'!P79),"")</f>
        <v/>
      </c>
      <c r="H52" s="16" t="str">
        <f t="shared" si="1"/>
        <v/>
      </c>
    </row>
    <row r="53" spans="1:8" x14ac:dyDescent="0.25">
      <c r="A53" s="7">
        <v>50</v>
      </c>
      <c r="B53" s="7" t="str">
        <f>IFERROR(IF('3_ROUTING_BREAKDOWN'!B38="","",'3_ROUTING_BREAKDOWN'!B38),"")</f>
        <v/>
      </c>
      <c r="C53" s="7" t="str">
        <f>IFERROR(IF('3_ROUTING_BREAKDOWN'!C38="","",'3_ROUTING_BREAKDOWN'!C38),"")</f>
        <v/>
      </c>
      <c r="D53" s="7" t="str">
        <f>IFERROR(IF(OR('3_ROUTING_BREAKDOWN'!C38="",""),"",IF('3_ROUTING_BREAKDOWN'!I38&lt;'3_ROUTING_BREAKDOWN'!H38,"Yield Drop ("&amp;TEXT('3_ROUTING_BREAKDOWN'!H38,"0.0%")&amp;" ➔ "&amp;TEXT('3_ROUTING_BREAKDOWN'!I38,"0.0%")&amp;")",IF('3_ROUTING_BREAKDOWN'!I38&gt;'3_ROUTING_BREAKDOWN'!H38,"Yield Improvement ("&amp;TEXT('3_ROUTING_BREAKDOWN'!H38,"0.0%")&amp;" ➔ "&amp;TEXT('3_ROUTING_BREAKDOWN'!I38,"0.0%")&amp;")",IF('3_ROUTING_BREAKDOWN'!G38&lt;'3_ROUTING_BREAKDOWN'!F38,"Capacity Drop ("&amp;TEXT('3_ROUTING_BREAKDOWN'!F38,"#,##0")&amp;" ➔ "&amp;TEXT('3_ROUTING_BREAKDOWN'!G38,"#,##0")&amp;" Unit/hr)",IF('3_ROUTING_BREAKDOWN'!G38&gt;'3_ROUTING_BREAKDOWN'!F38,"Capacity Improvement ("&amp;TEXT('3_ROUTING_BREAKDOWN'!F38,"#,##0")&amp;" ➔ "&amp;TEXT('3_ROUTING_BREAKDOWN'!G38,"#,##0")&amp;" Unit/hr)",""))))),"")</f>
        <v/>
      </c>
      <c r="E53" s="14" t="str">
        <f>IFERROR(IF(OR('3_ROUTING_BREAKDOWN'!C38="",""),"",IF('3_ROUTING_BREAKDOWN'!I38&lt;&gt;'3_ROUTING_BREAKDOWN'!H38,'3_ROUTING_BREAKDOWN'!H38,IF('3_ROUTING_BREAKDOWN'!G38&lt;&gt;'3_ROUTING_BREAKDOWN'!F38,'3_ROUTING_BREAKDOWN'!F38,""))),"")</f>
        <v/>
      </c>
      <c r="F53" s="14" t="str">
        <f>IFERROR(IF(OR('3_ROUTING_BREAKDOWN'!C38="",""),"",IF('3_ROUTING_BREAKDOWN'!I38&lt;&gt;'3_ROUTING_BREAKDOWN'!H38,'3_ROUTING_BREAKDOWN'!I38,IF('3_ROUTING_BREAKDOWN'!G38&lt;&gt;'3_ROUTING_BREAKDOWN'!F38,'3_ROUTING_BREAKDOWN'!G38,""))),"")</f>
        <v/>
      </c>
      <c r="G53" s="15" t="str">
        <f>IFERROR(IF(OR('3_ROUTING_BREAKDOWN'!C38="",'3_ROUTING_BREAKDOWN'!P80=""),"",'3_ROUTING_BREAKDOWN'!P80),"")</f>
        <v/>
      </c>
      <c r="H53" s="16" t="str">
        <f t="shared" si="1"/>
        <v/>
      </c>
    </row>
    <row r="54" spans="1:8" x14ac:dyDescent="0.25">
      <c r="A54" s="7">
        <v>51</v>
      </c>
      <c r="B54" s="7" t="str">
        <f>IFERROR(IF('3_ROUTING_BREAKDOWN'!B39="","",'3_ROUTING_BREAKDOWN'!B39),"")</f>
        <v/>
      </c>
      <c r="C54" s="7" t="str">
        <f>IFERROR(IF('3_ROUTING_BREAKDOWN'!C39="","",'3_ROUTING_BREAKDOWN'!C39),"")</f>
        <v/>
      </c>
      <c r="D54" s="7" t="str">
        <f>IFERROR(IF(OR('3_ROUTING_BREAKDOWN'!C39="",""),"",IF('3_ROUTING_BREAKDOWN'!I39&lt;'3_ROUTING_BREAKDOWN'!H39,"Yield Drop ("&amp;TEXT('3_ROUTING_BREAKDOWN'!H39,"0.0%")&amp;" ➔ "&amp;TEXT('3_ROUTING_BREAKDOWN'!I39,"0.0%")&amp;")",IF('3_ROUTING_BREAKDOWN'!I39&gt;'3_ROUTING_BREAKDOWN'!H39,"Yield Improvement ("&amp;TEXT('3_ROUTING_BREAKDOWN'!H39,"0.0%")&amp;" ➔ "&amp;TEXT('3_ROUTING_BREAKDOWN'!I39,"0.0%")&amp;")",IF('3_ROUTING_BREAKDOWN'!G39&lt;'3_ROUTING_BREAKDOWN'!F39,"Capacity Drop ("&amp;TEXT('3_ROUTING_BREAKDOWN'!F39,"#,##0")&amp;" ➔ "&amp;TEXT('3_ROUTING_BREAKDOWN'!G39,"#,##0")&amp;" Unit/hr)",IF('3_ROUTING_BREAKDOWN'!G39&gt;'3_ROUTING_BREAKDOWN'!F39,"Capacity Improvement ("&amp;TEXT('3_ROUTING_BREAKDOWN'!F39,"#,##0")&amp;" ➔ "&amp;TEXT('3_ROUTING_BREAKDOWN'!G39,"#,##0")&amp;" Unit/hr)",""))))),"")</f>
        <v/>
      </c>
      <c r="E54" s="14" t="str">
        <f>IFERROR(IF(OR('3_ROUTING_BREAKDOWN'!C39="",""),"",IF('3_ROUTING_BREAKDOWN'!I39&lt;&gt;'3_ROUTING_BREAKDOWN'!H39,'3_ROUTING_BREAKDOWN'!H39,IF('3_ROUTING_BREAKDOWN'!G39&lt;&gt;'3_ROUTING_BREAKDOWN'!F39,'3_ROUTING_BREAKDOWN'!F39,""))),"")</f>
        <v/>
      </c>
      <c r="F54" s="14" t="str">
        <f>IFERROR(IF(OR('3_ROUTING_BREAKDOWN'!C39="",""),"",IF('3_ROUTING_BREAKDOWN'!I39&lt;&gt;'3_ROUTING_BREAKDOWN'!H39,'3_ROUTING_BREAKDOWN'!I39,IF('3_ROUTING_BREAKDOWN'!G39&lt;&gt;'3_ROUTING_BREAKDOWN'!F39,'3_ROUTING_BREAKDOWN'!G39,""))),"")</f>
        <v/>
      </c>
      <c r="G54" s="15" t="str">
        <f>IFERROR(IF(OR('3_ROUTING_BREAKDOWN'!C39="",'3_ROUTING_BREAKDOWN'!P81=""),"",'3_ROUTING_BREAKDOWN'!P81),"")</f>
        <v/>
      </c>
      <c r="H54" s="16" t="str">
        <f t="shared" si="1"/>
        <v/>
      </c>
    </row>
    <row r="55" spans="1:8" x14ac:dyDescent="0.25">
      <c r="A55" s="7">
        <v>52</v>
      </c>
      <c r="B55" s="7" t="str">
        <f>IFERROR(IF('3_ROUTING_BREAKDOWN'!B40="","",'3_ROUTING_BREAKDOWN'!B40),"")</f>
        <v/>
      </c>
      <c r="C55" s="7" t="str">
        <f>IFERROR(IF('3_ROUTING_BREAKDOWN'!C40="","",'3_ROUTING_BREAKDOWN'!C40),"")</f>
        <v/>
      </c>
      <c r="D55" s="7" t="str">
        <f>IFERROR(IF(OR('3_ROUTING_BREAKDOWN'!C40="",""),"",IF('3_ROUTING_BREAKDOWN'!I40&lt;'3_ROUTING_BREAKDOWN'!H40,"Yield Drop ("&amp;TEXT('3_ROUTING_BREAKDOWN'!H40,"0.0%")&amp;" ➔ "&amp;TEXT('3_ROUTING_BREAKDOWN'!I40,"0.0%")&amp;")",IF('3_ROUTING_BREAKDOWN'!I40&gt;'3_ROUTING_BREAKDOWN'!H40,"Yield Improvement ("&amp;TEXT('3_ROUTING_BREAKDOWN'!H40,"0.0%")&amp;" ➔ "&amp;TEXT('3_ROUTING_BREAKDOWN'!I40,"0.0%")&amp;")",IF('3_ROUTING_BREAKDOWN'!G40&lt;'3_ROUTING_BREAKDOWN'!F40,"Capacity Drop ("&amp;TEXT('3_ROUTING_BREAKDOWN'!F40,"#,##0")&amp;" ➔ "&amp;TEXT('3_ROUTING_BREAKDOWN'!G40,"#,##0")&amp;" Unit/hr)",IF('3_ROUTING_BREAKDOWN'!G40&gt;'3_ROUTING_BREAKDOWN'!F40,"Capacity Improvement ("&amp;TEXT('3_ROUTING_BREAKDOWN'!F40,"#,##0")&amp;" ➔ "&amp;TEXT('3_ROUTING_BREAKDOWN'!G40,"#,##0")&amp;" Unit/hr)",""))))),"")</f>
        <v/>
      </c>
      <c r="E55" s="14" t="str">
        <f>IFERROR(IF(OR('3_ROUTING_BREAKDOWN'!C40="",""),"",IF('3_ROUTING_BREAKDOWN'!I40&lt;&gt;'3_ROUTING_BREAKDOWN'!H40,'3_ROUTING_BREAKDOWN'!H40,IF('3_ROUTING_BREAKDOWN'!G40&lt;&gt;'3_ROUTING_BREAKDOWN'!F40,'3_ROUTING_BREAKDOWN'!F40,""))),"")</f>
        <v/>
      </c>
      <c r="F55" s="14" t="str">
        <f>IFERROR(IF(OR('3_ROUTING_BREAKDOWN'!C40="",""),"",IF('3_ROUTING_BREAKDOWN'!I40&lt;&gt;'3_ROUTING_BREAKDOWN'!H40,'3_ROUTING_BREAKDOWN'!I40,IF('3_ROUTING_BREAKDOWN'!G40&lt;&gt;'3_ROUTING_BREAKDOWN'!F40,'3_ROUTING_BREAKDOWN'!G40,""))),"")</f>
        <v/>
      </c>
      <c r="G55" s="15" t="str">
        <f>IFERROR(IF(OR('3_ROUTING_BREAKDOWN'!C40="",'3_ROUTING_BREAKDOWN'!P82=""),"",'3_ROUTING_BREAKDOWN'!P82),"")</f>
        <v/>
      </c>
      <c r="H55" s="16" t="str">
        <f t="shared" si="1"/>
        <v/>
      </c>
    </row>
    <row r="56" spans="1:8" x14ac:dyDescent="0.25">
      <c r="A56" s="7">
        <v>53</v>
      </c>
      <c r="B56" s="7" t="str">
        <f>IFERROR(IF('3_ROUTING_BREAKDOWN'!B41="","",'3_ROUTING_BREAKDOWN'!B41),"")</f>
        <v/>
      </c>
      <c r="C56" s="7" t="str">
        <f>IFERROR(IF('3_ROUTING_BREAKDOWN'!C41="","",'3_ROUTING_BREAKDOWN'!C41),"")</f>
        <v/>
      </c>
      <c r="D56" s="7" t="str">
        <f>IFERROR(IF(OR('3_ROUTING_BREAKDOWN'!C41="",""),"",IF('3_ROUTING_BREAKDOWN'!I41&lt;'3_ROUTING_BREAKDOWN'!H41,"Yield Drop ("&amp;TEXT('3_ROUTING_BREAKDOWN'!H41,"0.0%")&amp;" ➔ "&amp;TEXT('3_ROUTING_BREAKDOWN'!I41,"0.0%")&amp;")",IF('3_ROUTING_BREAKDOWN'!I41&gt;'3_ROUTING_BREAKDOWN'!H41,"Yield Improvement ("&amp;TEXT('3_ROUTING_BREAKDOWN'!H41,"0.0%")&amp;" ➔ "&amp;TEXT('3_ROUTING_BREAKDOWN'!I41,"0.0%")&amp;")",IF('3_ROUTING_BREAKDOWN'!G41&lt;'3_ROUTING_BREAKDOWN'!F41,"Capacity Drop ("&amp;TEXT('3_ROUTING_BREAKDOWN'!F41,"#,##0")&amp;" ➔ "&amp;TEXT('3_ROUTING_BREAKDOWN'!G41,"#,##0")&amp;" Unit/hr)",IF('3_ROUTING_BREAKDOWN'!G41&gt;'3_ROUTING_BREAKDOWN'!F41,"Capacity Improvement ("&amp;TEXT('3_ROUTING_BREAKDOWN'!F41,"#,##0")&amp;" ➔ "&amp;TEXT('3_ROUTING_BREAKDOWN'!G41,"#,##0")&amp;" Unit/hr)",""))))),"")</f>
        <v/>
      </c>
      <c r="E56" s="14" t="str">
        <f>IFERROR(IF(OR('3_ROUTING_BREAKDOWN'!C41="",""),"",IF('3_ROUTING_BREAKDOWN'!I41&lt;&gt;'3_ROUTING_BREAKDOWN'!H41,'3_ROUTING_BREAKDOWN'!H41,IF('3_ROUTING_BREAKDOWN'!G41&lt;&gt;'3_ROUTING_BREAKDOWN'!F41,'3_ROUTING_BREAKDOWN'!F41,""))),"")</f>
        <v/>
      </c>
      <c r="F56" s="14" t="str">
        <f>IFERROR(IF(OR('3_ROUTING_BREAKDOWN'!C41="",""),"",IF('3_ROUTING_BREAKDOWN'!I41&lt;&gt;'3_ROUTING_BREAKDOWN'!H41,'3_ROUTING_BREAKDOWN'!I41,IF('3_ROUTING_BREAKDOWN'!G41&lt;&gt;'3_ROUTING_BREAKDOWN'!F41,'3_ROUTING_BREAKDOWN'!G41,""))),"")</f>
        <v/>
      </c>
      <c r="G56" s="15" t="str">
        <f>IFERROR(IF(OR('3_ROUTING_BREAKDOWN'!C41="",'3_ROUTING_BREAKDOWN'!P83=""),"",'3_ROUTING_BREAKDOWN'!P83),"")</f>
        <v/>
      </c>
      <c r="H56" s="16" t="str">
        <f t="shared" si="1"/>
        <v/>
      </c>
    </row>
    <row r="57" spans="1:8" x14ac:dyDescent="0.25">
      <c r="A57" s="7">
        <v>54</v>
      </c>
      <c r="B57" s="7" t="str">
        <f>IFERROR(IF('3_ROUTING_BREAKDOWN'!B42="","",'3_ROUTING_BREAKDOWN'!B42),"")</f>
        <v/>
      </c>
      <c r="C57" s="7" t="str">
        <f>IFERROR(IF('3_ROUTING_BREAKDOWN'!C42="","",'3_ROUTING_BREAKDOWN'!C42),"")</f>
        <v/>
      </c>
      <c r="D57" s="7" t="str">
        <f>IFERROR(IF(OR('3_ROUTING_BREAKDOWN'!C42="",""),"",IF('3_ROUTING_BREAKDOWN'!I42&lt;'3_ROUTING_BREAKDOWN'!H42,"Yield Drop ("&amp;TEXT('3_ROUTING_BREAKDOWN'!H42,"0.0%")&amp;" ➔ "&amp;TEXT('3_ROUTING_BREAKDOWN'!I42,"0.0%")&amp;")",IF('3_ROUTING_BREAKDOWN'!I42&gt;'3_ROUTING_BREAKDOWN'!H42,"Yield Improvement ("&amp;TEXT('3_ROUTING_BREAKDOWN'!H42,"0.0%")&amp;" ➔ "&amp;TEXT('3_ROUTING_BREAKDOWN'!I42,"0.0%")&amp;")",IF('3_ROUTING_BREAKDOWN'!G42&lt;'3_ROUTING_BREAKDOWN'!F42,"Capacity Drop ("&amp;TEXT('3_ROUTING_BREAKDOWN'!F42,"#,##0")&amp;" ➔ "&amp;TEXT('3_ROUTING_BREAKDOWN'!G42,"#,##0")&amp;" Unit/hr)",IF('3_ROUTING_BREAKDOWN'!G42&gt;'3_ROUTING_BREAKDOWN'!F42,"Capacity Improvement ("&amp;TEXT('3_ROUTING_BREAKDOWN'!F42,"#,##0")&amp;" ➔ "&amp;TEXT('3_ROUTING_BREAKDOWN'!G42,"#,##0")&amp;" Unit/hr)",""))))),"")</f>
        <v/>
      </c>
      <c r="E57" s="14" t="str">
        <f>IFERROR(IF(OR('3_ROUTING_BREAKDOWN'!C42="",""),"",IF('3_ROUTING_BREAKDOWN'!I42&lt;&gt;'3_ROUTING_BREAKDOWN'!H42,'3_ROUTING_BREAKDOWN'!H42,IF('3_ROUTING_BREAKDOWN'!G42&lt;&gt;'3_ROUTING_BREAKDOWN'!F42,'3_ROUTING_BREAKDOWN'!F42,""))),"")</f>
        <v/>
      </c>
      <c r="F57" s="14" t="str">
        <f>IFERROR(IF(OR('3_ROUTING_BREAKDOWN'!C42="",""),"",IF('3_ROUTING_BREAKDOWN'!I42&lt;&gt;'3_ROUTING_BREAKDOWN'!H42,'3_ROUTING_BREAKDOWN'!I42,IF('3_ROUTING_BREAKDOWN'!G42&lt;&gt;'3_ROUTING_BREAKDOWN'!F42,'3_ROUTING_BREAKDOWN'!G42,""))),"")</f>
        <v/>
      </c>
      <c r="G57" s="15" t="str">
        <f>IFERROR(IF(OR('3_ROUTING_BREAKDOWN'!C42="",'3_ROUTING_BREAKDOWN'!P84=""),"",'3_ROUTING_BREAKDOWN'!P84),"")</f>
        <v/>
      </c>
      <c r="H57" s="16" t="str">
        <f t="shared" si="1"/>
        <v/>
      </c>
    </row>
    <row r="58" spans="1:8" x14ac:dyDescent="0.25">
      <c r="A58" s="7">
        <v>55</v>
      </c>
      <c r="B58" s="7" t="str">
        <f>IFERROR(IF('3_ROUTING_BREAKDOWN'!B43="","",'3_ROUTING_BREAKDOWN'!B43),"")</f>
        <v/>
      </c>
      <c r="C58" s="7" t="str">
        <f>IFERROR(IF('3_ROUTING_BREAKDOWN'!C43="","",'3_ROUTING_BREAKDOWN'!C43),"")</f>
        <v/>
      </c>
      <c r="D58" s="7" t="str">
        <f>IFERROR(IF(OR('3_ROUTING_BREAKDOWN'!C43="",""),"",IF('3_ROUTING_BREAKDOWN'!I43&lt;'3_ROUTING_BREAKDOWN'!H43,"Yield Drop ("&amp;TEXT('3_ROUTING_BREAKDOWN'!H43,"0.0%")&amp;" ➔ "&amp;TEXT('3_ROUTING_BREAKDOWN'!I43,"0.0%")&amp;")",IF('3_ROUTING_BREAKDOWN'!I43&gt;'3_ROUTING_BREAKDOWN'!H43,"Yield Improvement ("&amp;TEXT('3_ROUTING_BREAKDOWN'!H43,"0.0%")&amp;" ➔ "&amp;TEXT('3_ROUTING_BREAKDOWN'!I43,"0.0%")&amp;")",IF('3_ROUTING_BREAKDOWN'!G43&lt;'3_ROUTING_BREAKDOWN'!F43,"Capacity Drop ("&amp;TEXT('3_ROUTING_BREAKDOWN'!F43,"#,##0")&amp;" ➔ "&amp;TEXT('3_ROUTING_BREAKDOWN'!G43,"#,##0")&amp;" Unit/hr)",IF('3_ROUTING_BREAKDOWN'!G43&gt;'3_ROUTING_BREAKDOWN'!F43,"Capacity Improvement ("&amp;TEXT('3_ROUTING_BREAKDOWN'!F43,"#,##0")&amp;" ➔ "&amp;TEXT('3_ROUTING_BREAKDOWN'!G43,"#,##0")&amp;" Unit/hr)",""))))),"")</f>
        <v/>
      </c>
      <c r="E58" s="14" t="str">
        <f>IFERROR(IF(OR('3_ROUTING_BREAKDOWN'!C43="",""),"",IF('3_ROUTING_BREAKDOWN'!I43&lt;&gt;'3_ROUTING_BREAKDOWN'!H43,'3_ROUTING_BREAKDOWN'!H43,IF('3_ROUTING_BREAKDOWN'!G43&lt;&gt;'3_ROUTING_BREAKDOWN'!F43,'3_ROUTING_BREAKDOWN'!F43,""))),"")</f>
        <v/>
      </c>
      <c r="F58" s="14" t="str">
        <f>IFERROR(IF(OR('3_ROUTING_BREAKDOWN'!C43="",""),"",IF('3_ROUTING_BREAKDOWN'!I43&lt;&gt;'3_ROUTING_BREAKDOWN'!H43,'3_ROUTING_BREAKDOWN'!I43,IF('3_ROUTING_BREAKDOWN'!G43&lt;&gt;'3_ROUTING_BREAKDOWN'!F43,'3_ROUTING_BREAKDOWN'!G43,""))),"")</f>
        <v/>
      </c>
      <c r="G58" s="15" t="str">
        <f>IFERROR(IF(OR('3_ROUTING_BREAKDOWN'!C43="",'3_ROUTING_BREAKDOWN'!P85=""),"",'3_ROUTING_BREAKDOWN'!P85),"")</f>
        <v/>
      </c>
      <c r="H58" s="16" t="str">
        <f t="shared" si="1"/>
        <v/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2"/>
  <sheetViews>
    <sheetView workbookViewId="0"/>
  </sheetViews>
  <sheetFormatPr defaultRowHeight="15" x14ac:dyDescent="0.25"/>
  <cols>
    <col min="1" max="1" width="12.7109375" bestFit="1" customWidth="1"/>
    <col min="2" max="2" width="20.85546875" bestFit="1" customWidth="1"/>
    <col min="3" max="3" width="32" bestFit="1" customWidth="1"/>
    <col min="4" max="4" width="29.7109375" bestFit="1" customWidth="1"/>
    <col min="5" max="5" width="15" bestFit="1" customWidth="1"/>
    <col min="6" max="6" width="16.42578125" bestFit="1" customWidth="1"/>
    <col min="7" max="7" width="19.140625" bestFit="1" customWidth="1"/>
    <col min="8" max="8" width="14.42578125" bestFit="1" customWidth="1"/>
    <col min="9" max="9" width="13.85546875" bestFit="1" customWidth="1"/>
    <col min="10" max="10" width="11" bestFit="1" customWidth="1"/>
  </cols>
  <sheetData>
    <row r="1" spans="1:10" ht="21" x14ac:dyDescent="0.25">
      <c r="A1" s="21" t="s">
        <v>62</v>
      </c>
      <c r="B1" s="21"/>
      <c r="C1" s="21"/>
      <c r="D1" s="21"/>
      <c r="E1" s="21"/>
      <c r="F1" s="21"/>
    </row>
    <row r="3" spans="1:10" ht="17.25" x14ac:dyDescent="0.25">
      <c r="A3" s="22" t="s">
        <v>63</v>
      </c>
      <c r="B3" s="22"/>
      <c r="C3" s="22"/>
      <c r="D3" s="22"/>
      <c r="E3" s="22"/>
      <c r="F3" s="22"/>
    </row>
    <row r="4" spans="1:10" x14ac:dyDescent="0.25">
      <c r="A4" s="1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</row>
    <row r="5" spans="1:10" x14ac:dyDescent="0.25">
      <c r="A5" s="17" t="s">
        <v>70</v>
      </c>
      <c r="B5" s="8" t="str">
        <f>IFERROR(IF('2_BOM_BREAKDOWN'!D40="","",'2_BOM_BREAKDOWN'!D40), "")</f>
        <v/>
      </c>
      <c r="C5" s="8" t="str">
        <f>IFERROR(IF('2_BOM_BREAKDOWN'!E40="","",'2_BOM_BREAKDOWN'!E40), "")</f>
        <v/>
      </c>
      <c r="D5" s="8" t="str">
        <f>IFERROR(IF(OR(B5="",C5=""),"",C5-B5), "")</f>
        <v/>
      </c>
      <c r="E5" s="18" t="str">
        <f>IFERROR(IF(OR(B5="",D5="",B5&lt;=0), "", D5/B5), "")</f>
        <v/>
      </c>
      <c r="F5" s="7" t="s">
        <v>71</v>
      </c>
    </row>
    <row r="6" spans="1:10" x14ac:dyDescent="0.25">
      <c r="A6" s="17" t="s">
        <v>72</v>
      </c>
      <c r="B6" s="8" t="str">
        <f>IFERROR(IF('3_ROUTING_BREAKDOWN'!H86="","",'3_ROUTING_BREAKDOWN'!H86), "")</f>
        <v/>
      </c>
      <c r="C6" s="8" t="str">
        <f>IFERROR(IF('3_ROUTING_BREAKDOWN'!I86="","",'3_ROUTING_BREAKDOWN'!I86), "")</f>
        <v/>
      </c>
      <c r="D6" s="8" t="str">
        <f>IFERROR(IF(OR(B6="",C6=""),"",C6-B6), "")</f>
        <v/>
      </c>
      <c r="E6" s="18" t="str">
        <f>IFERROR(IF(OR(B6="",D6="",B6&lt;=0), "", D6/B6), "")</f>
        <v/>
      </c>
      <c r="F6" s="7" t="s">
        <v>71</v>
      </c>
    </row>
    <row r="7" spans="1:10" x14ac:dyDescent="0.25">
      <c r="A7" s="17" t="s">
        <v>73</v>
      </c>
      <c r="B7" s="8" t="str">
        <f>IFERROR(IF('3_ROUTING_BREAKDOWN'!K86="","",'3_ROUTING_BREAKDOWN'!K86), "")</f>
        <v/>
      </c>
      <c r="C7" s="8" t="str">
        <f>IFERROR(IF('3_ROUTING_BREAKDOWN'!L86="","",'3_ROUTING_BREAKDOWN'!L86), "")</f>
        <v/>
      </c>
      <c r="D7" s="8" t="str">
        <f>IFERROR(IF(OR(B7="",C7=""),"",C7-B7), "")</f>
        <v/>
      </c>
      <c r="E7" s="18" t="str">
        <f>IFERROR(IF(OR(B7="",D7="",B7&lt;=0), "", D7/B7), "")</f>
        <v/>
      </c>
      <c r="F7" s="7" t="s">
        <v>71</v>
      </c>
    </row>
    <row r="8" spans="1:10" x14ac:dyDescent="0.25">
      <c r="A8" s="9" t="s">
        <v>74</v>
      </c>
      <c r="B8" s="10" t="str">
        <f>IFERROR(IF(SUM(B5:B7)=0,"",SUM(B5:B7)), "")</f>
        <v/>
      </c>
      <c r="C8" s="10" t="str">
        <f>IFERROR(IF(SUM(C5:C7)=0,"",SUM(C5:C7)), "")</f>
        <v/>
      </c>
      <c r="D8" s="10" t="str">
        <f>IFERROR(IF(OR(B8="",C8=""),"",C8-B8), "")</f>
        <v/>
      </c>
      <c r="E8" s="19" t="str">
        <f>IFERROR(IF(OR(B8="",D8="",B8&lt;=0), "", D8/B8), "")</f>
        <v/>
      </c>
      <c r="F8" s="9" t="s">
        <v>75</v>
      </c>
    </row>
    <row r="11" spans="1:10" ht="17.25" x14ac:dyDescent="0.25">
      <c r="A11" s="22" t="s">
        <v>76</v>
      </c>
      <c r="B11" s="22"/>
      <c r="C11" s="22"/>
      <c r="D11" s="22"/>
      <c r="E11" s="22"/>
      <c r="F11" s="22"/>
      <c r="G11" s="22"/>
      <c r="H11" s="22"/>
      <c r="I11" s="22"/>
      <c r="J11" s="22"/>
    </row>
    <row r="12" spans="1:10" x14ac:dyDescent="0.25">
      <c r="A12" s="1" t="s">
        <v>77</v>
      </c>
      <c r="B12" s="1" t="s">
        <v>55</v>
      </c>
      <c r="C12" s="1" t="s">
        <v>78</v>
      </c>
      <c r="D12" s="1" t="s">
        <v>79</v>
      </c>
      <c r="E12" s="1" t="s">
        <v>58</v>
      </c>
      <c r="F12" s="1" t="s">
        <v>59</v>
      </c>
      <c r="G12" s="1" t="s">
        <v>80</v>
      </c>
      <c r="H12" s="1" t="s">
        <v>81</v>
      </c>
      <c r="I12" s="1" t="s">
        <v>82</v>
      </c>
      <c r="J12" s="1" t="s">
        <v>83</v>
      </c>
    </row>
    <row r="13" spans="1:10" x14ac:dyDescent="0.25">
      <c r="A13" s="17" t="str">
        <f>IFERROR(IF(LARGE(_CALC_ENGINE!H$4:H$58, 1)&lt;=0, "", 1), "")</f>
        <v/>
      </c>
      <c r="B13" s="7" t="str">
        <f>IFERROR(IF(LARGE(_CALC_ENGINE!H$4:H$58, 1)&lt;=0, "", INDEX(_CALC_ENGINE!B$4:B$58, MATCH(LARGE(_CALC_ENGINE!H$4:H$58, 1), _CALC_ENGINE!H$4:H$58, 0))), "")</f>
        <v/>
      </c>
      <c r="C13" s="7" t="str">
        <f>IFERROR(IF(LARGE(_CALC_ENGINE!H$4:H$58, 1)&lt;=0, "", INDEX(_CALC_ENGINE!C$4:C$58, MATCH(LARGE(_CALC_ENGINE!H$4:H$58, 1), _CALC_ENGINE!H$4:H$58, 0))), "")</f>
        <v/>
      </c>
      <c r="D13" s="7" t="str">
        <f>IFERROR(IF(LARGE(_CALC_ENGINE!H$4:H$58, 1)&lt;=0, "", INDEX(_CALC_ENGINE!D$4:D$58, MATCH(LARGE(_CALC_ENGINE!H$4:H$58, 1), _CALC_ENGINE!H$4:H$58, 0))), "")</f>
        <v/>
      </c>
      <c r="E13" s="14" t="str">
        <f>IFERROR(IF(LARGE(_CALC_ENGINE!H$4:H$58, 1)&lt;=0, "", INDEX(_CALC_ENGINE!E$4:E$58, MATCH(LARGE(_CALC_ENGINE!H$4:H$58, 1), _CALC_ENGINE!H$4:H$58, 0))), "")</f>
        <v/>
      </c>
      <c r="F13" s="14" t="str">
        <f>IFERROR(IF(LARGE(_CALC_ENGINE!H$4:H$58, 1)&lt;=0, "", INDEX(_CALC_ENGINE!F$4:F$58, MATCH(LARGE(_CALC_ENGINE!H$4:H$58, 1), _CALC_ENGINE!H$4:H$58, 0))), "")</f>
        <v/>
      </c>
      <c r="G13" s="15" t="str">
        <f>IFERROR(IF(LARGE(_CALC_ENGINE!H$4:H$58, 1)&lt;=0, "", INDEX(_CALC_ENGINE!G$4:G$58, MATCH(LARGE(_CALC_ENGINE!H$4:H$58, 1), _CALC_ENGINE!H$4:H$58, 0))), "")</f>
        <v/>
      </c>
      <c r="H13" s="18" t="str">
        <f>IFERROR(IF(OR(LARGE(_CALC_ENGINE!H$4:H$58, 1)&lt;=0, $D$8&lt;=0, G13=""), "", G13/$D$8), "")</f>
        <v/>
      </c>
      <c r="I13" s="2"/>
      <c r="J13" s="20"/>
    </row>
    <row r="14" spans="1:10" x14ac:dyDescent="0.25">
      <c r="A14" s="17" t="str">
        <f>IFERROR(IF(LARGE(_CALC_ENGINE!H$4:H$58, 2)&lt;=0, "", 2), "")</f>
        <v/>
      </c>
      <c r="B14" s="7" t="str">
        <f>IFERROR(IF(LARGE(_CALC_ENGINE!H$4:H$58, 2)&lt;=0, "", INDEX(_CALC_ENGINE!B$4:B$58, MATCH(LARGE(_CALC_ENGINE!H$4:H$58, 2), _CALC_ENGINE!H$4:H$58, 0))), "")</f>
        <v/>
      </c>
      <c r="C14" s="7" t="str">
        <f>IFERROR(IF(LARGE(_CALC_ENGINE!H$4:H$58, 2)&lt;=0, "", INDEX(_CALC_ENGINE!C$4:C$58, MATCH(LARGE(_CALC_ENGINE!H$4:H$58, 2), _CALC_ENGINE!H$4:H$58, 0))), "")</f>
        <v/>
      </c>
      <c r="D14" s="7" t="str">
        <f>IFERROR(IF(LARGE(_CALC_ENGINE!H$4:H$58, 2)&lt;=0, "", INDEX(_CALC_ENGINE!D$4:D$58, MATCH(LARGE(_CALC_ENGINE!H$4:H$58, 2), _CALC_ENGINE!H$4:H$58, 0))), "")</f>
        <v/>
      </c>
      <c r="E14" s="14" t="str">
        <f>IFERROR(IF(LARGE(_CALC_ENGINE!H$4:H$58, 2)&lt;=0, "", INDEX(_CALC_ENGINE!E$4:E$58, MATCH(LARGE(_CALC_ENGINE!H$4:H$58, 2), _CALC_ENGINE!H$4:H$58, 0))), "")</f>
        <v/>
      </c>
      <c r="F14" s="14" t="str">
        <f>IFERROR(IF(LARGE(_CALC_ENGINE!H$4:H$58, 2)&lt;=0, "", INDEX(_CALC_ENGINE!F$4:F$58, MATCH(LARGE(_CALC_ENGINE!H$4:H$58, 2), _CALC_ENGINE!H$4:H$58, 0))), "")</f>
        <v/>
      </c>
      <c r="G14" s="15" t="str">
        <f>IFERROR(IF(LARGE(_CALC_ENGINE!H$4:H$58, 2)&lt;=0, "", INDEX(_CALC_ENGINE!G$4:G$58, MATCH(LARGE(_CALC_ENGINE!H$4:H$58, 2), _CALC_ENGINE!H$4:H$58, 0))), "")</f>
        <v/>
      </c>
      <c r="H14" s="18" t="str">
        <f>IFERROR(IF(OR(LARGE(_CALC_ENGINE!H$4:H$58, 2)&lt;=0, $D$8&lt;=0, G14=""), "", G14/$D$8), "")</f>
        <v/>
      </c>
      <c r="I14" s="2"/>
      <c r="J14" s="20"/>
    </row>
    <row r="15" spans="1:10" x14ac:dyDescent="0.25">
      <c r="A15" s="17" t="str">
        <f>IFERROR(IF(LARGE(_CALC_ENGINE!H$4:H$58, 3)&lt;=0, "", 3), "")</f>
        <v/>
      </c>
      <c r="B15" s="7" t="str">
        <f>IFERROR(IF(LARGE(_CALC_ENGINE!H$4:H$58, 3)&lt;=0, "", INDEX(_CALC_ENGINE!B$4:B$58, MATCH(LARGE(_CALC_ENGINE!H$4:H$58, 3), _CALC_ENGINE!H$4:H$58, 0))), "")</f>
        <v/>
      </c>
      <c r="C15" s="7" t="str">
        <f>IFERROR(IF(LARGE(_CALC_ENGINE!H$4:H$58, 3)&lt;=0, "", INDEX(_CALC_ENGINE!C$4:C$58, MATCH(LARGE(_CALC_ENGINE!H$4:H$58, 3), _CALC_ENGINE!H$4:H$58, 0))), "")</f>
        <v/>
      </c>
      <c r="D15" s="7" t="str">
        <f>IFERROR(IF(LARGE(_CALC_ENGINE!H$4:H$58, 3)&lt;=0, "", INDEX(_CALC_ENGINE!D$4:D$58, MATCH(LARGE(_CALC_ENGINE!H$4:H$58, 3), _CALC_ENGINE!H$4:H$58, 0))), "")</f>
        <v/>
      </c>
      <c r="E15" s="14" t="str">
        <f>IFERROR(IF(LARGE(_CALC_ENGINE!H$4:H$58, 3)&lt;=0, "", INDEX(_CALC_ENGINE!E$4:E$58, MATCH(LARGE(_CALC_ENGINE!H$4:H$58, 3), _CALC_ENGINE!H$4:H$58, 0))), "")</f>
        <v/>
      </c>
      <c r="F15" s="14" t="str">
        <f>IFERROR(IF(LARGE(_CALC_ENGINE!H$4:H$58, 3)&lt;=0, "", INDEX(_CALC_ENGINE!F$4:F$58, MATCH(LARGE(_CALC_ENGINE!H$4:H$58, 3), _CALC_ENGINE!H$4:H$58, 0))), "")</f>
        <v/>
      </c>
      <c r="G15" s="15" t="str">
        <f>IFERROR(IF(LARGE(_CALC_ENGINE!H$4:H$58, 3)&lt;=0, "", INDEX(_CALC_ENGINE!G$4:G$58, MATCH(LARGE(_CALC_ENGINE!H$4:H$58, 3), _CALC_ENGINE!H$4:H$58, 0))), "")</f>
        <v/>
      </c>
      <c r="H15" s="18" t="str">
        <f>IFERROR(IF(OR(LARGE(_CALC_ENGINE!H$4:H$58, 3)&lt;=0, $D$8&lt;=0, G15=""), "", G15/$D$8), "")</f>
        <v/>
      </c>
      <c r="I15" s="2"/>
      <c r="J15" s="20"/>
    </row>
    <row r="16" spans="1:10" x14ac:dyDescent="0.25">
      <c r="A16" s="17" t="str">
        <f>IFERROR(IF(LARGE(_CALC_ENGINE!H$4:H$58, 4)&lt;=0, "", 4), "")</f>
        <v/>
      </c>
      <c r="B16" s="7" t="str">
        <f>IFERROR(IF(LARGE(_CALC_ENGINE!H$4:H$58, 4)&lt;=0, "", INDEX(_CALC_ENGINE!B$4:B$58, MATCH(LARGE(_CALC_ENGINE!H$4:H$58, 4), _CALC_ENGINE!H$4:H$58, 0))), "")</f>
        <v/>
      </c>
      <c r="C16" s="7" t="str">
        <f>IFERROR(IF(LARGE(_CALC_ENGINE!H$4:H$58, 4)&lt;=0, "", INDEX(_CALC_ENGINE!C$4:C$58, MATCH(LARGE(_CALC_ENGINE!H$4:H$58, 4), _CALC_ENGINE!H$4:H$58, 0))), "")</f>
        <v/>
      </c>
      <c r="D16" s="7" t="str">
        <f>IFERROR(IF(LARGE(_CALC_ENGINE!H$4:H$58, 4)&lt;=0, "", INDEX(_CALC_ENGINE!D$4:D$58, MATCH(LARGE(_CALC_ENGINE!H$4:H$58, 4), _CALC_ENGINE!H$4:H$58, 0))), "")</f>
        <v/>
      </c>
      <c r="E16" s="14" t="str">
        <f>IFERROR(IF(LARGE(_CALC_ENGINE!H$4:H$58, 4)&lt;=0, "", INDEX(_CALC_ENGINE!E$4:E$58, MATCH(LARGE(_CALC_ENGINE!H$4:H$58, 4), _CALC_ENGINE!H$4:H$58, 0))), "")</f>
        <v/>
      </c>
      <c r="F16" s="14" t="str">
        <f>IFERROR(IF(LARGE(_CALC_ENGINE!H$4:H$58, 4)&lt;=0, "", INDEX(_CALC_ENGINE!F$4:F$58, MATCH(LARGE(_CALC_ENGINE!H$4:H$58, 4), _CALC_ENGINE!H$4:H$58, 0))), "")</f>
        <v/>
      </c>
      <c r="G16" s="15" t="str">
        <f>IFERROR(IF(LARGE(_CALC_ENGINE!H$4:H$58, 4)&lt;=0, "", INDEX(_CALC_ENGINE!G$4:G$58, MATCH(LARGE(_CALC_ENGINE!H$4:H$58, 4), _CALC_ENGINE!H$4:H$58, 0))), "")</f>
        <v/>
      </c>
      <c r="H16" s="18" t="str">
        <f>IFERROR(IF(OR(LARGE(_CALC_ENGINE!H$4:H$58, 4)&lt;=0, $D$8&lt;=0, G16=""), "", G16/$D$8), "")</f>
        <v/>
      </c>
      <c r="I16" s="2"/>
      <c r="J16" s="20"/>
    </row>
    <row r="17" spans="1:10" x14ac:dyDescent="0.25">
      <c r="A17" s="17" t="str">
        <f>IFERROR(IF(LARGE(_CALC_ENGINE!H$4:H$58, 5)&lt;=0, "", 5), "")</f>
        <v/>
      </c>
      <c r="B17" s="7" t="str">
        <f>IFERROR(IF(LARGE(_CALC_ENGINE!H$4:H$58, 5)&lt;=0, "", INDEX(_CALC_ENGINE!B$4:B$58, MATCH(LARGE(_CALC_ENGINE!H$4:H$58, 5), _CALC_ENGINE!H$4:H$58, 0))), "")</f>
        <v/>
      </c>
      <c r="C17" s="7" t="str">
        <f>IFERROR(IF(LARGE(_CALC_ENGINE!H$4:H$58, 5)&lt;=0, "", INDEX(_CALC_ENGINE!C$4:C$58, MATCH(LARGE(_CALC_ENGINE!H$4:H$58, 5), _CALC_ENGINE!H$4:H$58, 0))), "")</f>
        <v/>
      </c>
      <c r="D17" s="7" t="str">
        <f>IFERROR(IF(LARGE(_CALC_ENGINE!H$4:H$58, 5)&lt;=0, "", INDEX(_CALC_ENGINE!D$4:D$58, MATCH(LARGE(_CALC_ENGINE!H$4:H$58, 5), _CALC_ENGINE!H$4:H$58, 0))), "")</f>
        <v/>
      </c>
      <c r="E17" s="14" t="str">
        <f>IFERROR(IF(LARGE(_CALC_ENGINE!H$4:H$58, 5)&lt;=0, "", INDEX(_CALC_ENGINE!E$4:E$58, MATCH(LARGE(_CALC_ENGINE!H$4:H$58, 5), _CALC_ENGINE!H$4:H$58, 0))), "")</f>
        <v/>
      </c>
      <c r="F17" s="14" t="str">
        <f>IFERROR(IF(LARGE(_CALC_ENGINE!H$4:H$58, 5)&lt;=0, "", INDEX(_CALC_ENGINE!F$4:F$58, MATCH(LARGE(_CALC_ENGINE!H$4:H$58, 5), _CALC_ENGINE!H$4:H$58, 0))), "")</f>
        <v/>
      </c>
      <c r="G17" s="15" t="str">
        <f>IFERROR(IF(LARGE(_CALC_ENGINE!H$4:H$58, 5)&lt;=0, "", INDEX(_CALC_ENGINE!G$4:G$58, MATCH(LARGE(_CALC_ENGINE!H$4:H$58, 5), _CALC_ENGINE!H$4:H$58, 0))), "")</f>
        <v/>
      </c>
      <c r="H17" s="18" t="str">
        <f>IFERROR(IF(OR(LARGE(_CALC_ENGINE!H$4:H$58, 5)&lt;=0, $D$8&lt;=0, G17=""), "", G17/$D$8), "")</f>
        <v/>
      </c>
      <c r="I17" s="2"/>
      <c r="J17" s="20"/>
    </row>
    <row r="18" spans="1:10" x14ac:dyDescent="0.25">
      <c r="A18" s="17" t="str">
        <f>IFERROR(IF(LARGE(_CALC_ENGINE!H$4:H$58, 6)&lt;=0, "", 6), "")</f>
        <v/>
      </c>
      <c r="B18" s="7" t="str">
        <f>IFERROR(IF(LARGE(_CALC_ENGINE!H$4:H$58, 6)&lt;=0, "", INDEX(_CALC_ENGINE!B$4:B$58, MATCH(LARGE(_CALC_ENGINE!H$4:H$58, 6), _CALC_ENGINE!H$4:H$58, 0))), "")</f>
        <v/>
      </c>
      <c r="C18" s="7" t="str">
        <f>IFERROR(IF(LARGE(_CALC_ENGINE!H$4:H$58, 6)&lt;=0, "", INDEX(_CALC_ENGINE!C$4:C$58, MATCH(LARGE(_CALC_ENGINE!H$4:H$58, 6), _CALC_ENGINE!H$4:H$58, 0))), "")</f>
        <v/>
      </c>
      <c r="D18" s="7" t="str">
        <f>IFERROR(IF(LARGE(_CALC_ENGINE!H$4:H$58, 6)&lt;=0, "", INDEX(_CALC_ENGINE!D$4:D$58, MATCH(LARGE(_CALC_ENGINE!H$4:H$58, 6), _CALC_ENGINE!H$4:H$58, 0))), "")</f>
        <v/>
      </c>
      <c r="E18" s="14" t="str">
        <f>IFERROR(IF(LARGE(_CALC_ENGINE!H$4:H$58, 6)&lt;=0, "", INDEX(_CALC_ENGINE!E$4:E$58, MATCH(LARGE(_CALC_ENGINE!H$4:H$58, 6), _CALC_ENGINE!H$4:H$58, 0))), "")</f>
        <v/>
      </c>
      <c r="F18" s="14" t="str">
        <f>IFERROR(IF(LARGE(_CALC_ENGINE!H$4:H$58, 6)&lt;=0, "", INDEX(_CALC_ENGINE!F$4:F$58, MATCH(LARGE(_CALC_ENGINE!H$4:H$58, 6), _CALC_ENGINE!H$4:H$58, 0))), "")</f>
        <v/>
      </c>
      <c r="G18" s="15" t="str">
        <f>IFERROR(IF(LARGE(_CALC_ENGINE!H$4:H$58, 6)&lt;=0, "", INDEX(_CALC_ENGINE!G$4:G$58, MATCH(LARGE(_CALC_ENGINE!H$4:H$58, 6), _CALC_ENGINE!H$4:H$58, 0))), "")</f>
        <v/>
      </c>
      <c r="H18" s="18" t="str">
        <f>IFERROR(IF(OR(LARGE(_CALC_ENGINE!H$4:H$58, 6)&lt;=0, $D$8&lt;=0, G18=""), "", G18/$D$8), "")</f>
        <v/>
      </c>
      <c r="I18" s="2"/>
      <c r="J18" s="20"/>
    </row>
    <row r="19" spans="1:10" x14ac:dyDescent="0.25">
      <c r="A19" s="17" t="str">
        <f>IFERROR(IF(LARGE(_CALC_ENGINE!H$4:H$58, 7)&lt;=0, "", 7), "")</f>
        <v/>
      </c>
      <c r="B19" s="7" t="str">
        <f>IFERROR(IF(LARGE(_CALC_ENGINE!H$4:H$58, 7)&lt;=0, "", INDEX(_CALC_ENGINE!B$4:B$58, MATCH(LARGE(_CALC_ENGINE!H$4:H$58, 7), _CALC_ENGINE!H$4:H$58, 0))), "")</f>
        <v/>
      </c>
      <c r="C19" s="7" t="str">
        <f>IFERROR(IF(LARGE(_CALC_ENGINE!H$4:H$58, 7)&lt;=0, "", INDEX(_CALC_ENGINE!C$4:C$58, MATCH(LARGE(_CALC_ENGINE!H$4:H$58, 7), _CALC_ENGINE!H$4:H$58, 0))), "")</f>
        <v/>
      </c>
      <c r="D19" s="7" t="str">
        <f>IFERROR(IF(LARGE(_CALC_ENGINE!H$4:H$58, 7)&lt;=0, "", INDEX(_CALC_ENGINE!D$4:D$58, MATCH(LARGE(_CALC_ENGINE!H$4:H$58, 7), _CALC_ENGINE!H$4:H$58, 0))), "")</f>
        <v/>
      </c>
      <c r="E19" s="14" t="str">
        <f>IFERROR(IF(LARGE(_CALC_ENGINE!H$4:H$58, 7)&lt;=0, "", INDEX(_CALC_ENGINE!E$4:E$58, MATCH(LARGE(_CALC_ENGINE!H$4:H$58, 7), _CALC_ENGINE!H$4:H$58, 0))), "")</f>
        <v/>
      </c>
      <c r="F19" s="14" t="str">
        <f>IFERROR(IF(LARGE(_CALC_ENGINE!H$4:H$58, 7)&lt;=0, "", INDEX(_CALC_ENGINE!F$4:F$58, MATCH(LARGE(_CALC_ENGINE!H$4:H$58, 7), _CALC_ENGINE!H$4:H$58, 0))), "")</f>
        <v/>
      </c>
      <c r="G19" s="15" t="str">
        <f>IFERROR(IF(LARGE(_CALC_ENGINE!H$4:H$58, 7)&lt;=0, "", INDEX(_CALC_ENGINE!G$4:G$58, MATCH(LARGE(_CALC_ENGINE!H$4:H$58, 7), _CALC_ENGINE!H$4:H$58, 0))), "")</f>
        <v/>
      </c>
      <c r="H19" s="18" t="str">
        <f>IFERROR(IF(OR(LARGE(_CALC_ENGINE!H$4:H$58, 7)&lt;=0, $D$8&lt;=0, G19=""), "", G19/$D$8), "")</f>
        <v/>
      </c>
      <c r="I19" s="2"/>
      <c r="J19" s="20"/>
    </row>
    <row r="20" spans="1:10" x14ac:dyDescent="0.25">
      <c r="A20" s="17" t="str">
        <f>IFERROR(IF(LARGE(_CALC_ENGINE!H$4:H$58, 8)&lt;=0, "", 8), "")</f>
        <v/>
      </c>
      <c r="B20" s="7" t="str">
        <f>IFERROR(IF(LARGE(_CALC_ENGINE!H$4:H$58, 8)&lt;=0, "", INDEX(_CALC_ENGINE!B$4:B$58, MATCH(LARGE(_CALC_ENGINE!H$4:H$58, 8), _CALC_ENGINE!H$4:H$58, 0))), "")</f>
        <v/>
      </c>
      <c r="C20" s="7" t="str">
        <f>IFERROR(IF(LARGE(_CALC_ENGINE!H$4:H$58, 8)&lt;=0, "", INDEX(_CALC_ENGINE!C$4:C$58, MATCH(LARGE(_CALC_ENGINE!H$4:H$58, 8), _CALC_ENGINE!H$4:H$58, 0))), "")</f>
        <v/>
      </c>
      <c r="D20" s="7" t="str">
        <f>IFERROR(IF(LARGE(_CALC_ENGINE!H$4:H$58, 8)&lt;=0, "", INDEX(_CALC_ENGINE!D$4:D$58, MATCH(LARGE(_CALC_ENGINE!H$4:H$58, 8), _CALC_ENGINE!H$4:H$58, 0))), "")</f>
        <v/>
      </c>
      <c r="E20" s="14" t="str">
        <f>IFERROR(IF(LARGE(_CALC_ENGINE!H$4:H$58, 8)&lt;=0, "", INDEX(_CALC_ENGINE!E$4:E$58, MATCH(LARGE(_CALC_ENGINE!H$4:H$58, 8), _CALC_ENGINE!H$4:H$58, 0))), "")</f>
        <v/>
      </c>
      <c r="F20" s="14" t="str">
        <f>IFERROR(IF(LARGE(_CALC_ENGINE!H$4:H$58, 8)&lt;=0, "", INDEX(_CALC_ENGINE!F$4:F$58, MATCH(LARGE(_CALC_ENGINE!H$4:H$58, 8), _CALC_ENGINE!H$4:H$58, 0))), "")</f>
        <v/>
      </c>
      <c r="G20" s="15" t="str">
        <f>IFERROR(IF(LARGE(_CALC_ENGINE!H$4:H$58, 8)&lt;=0, "", INDEX(_CALC_ENGINE!G$4:G$58, MATCH(LARGE(_CALC_ENGINE!H$4:H$58, 8), _CALC_ENGINE!H$4:H$58, 0))), "")</f>
        <v/>
      </c>
      <c r="H20" s="18" t="str">
        <f>IFERROR(IF(OR(LARGE(_CALC_ENGINE!H$4:H$58, 8)&lt;=0, $D$8&lt;=0, G20=""), "", G20/$D$8), "")</f>
        <v/>
      </c>
      <c r="I20" s="2"/>
      <c r="J20" s="20"/>
    </row>
    <row r="21" spans="1:10" x14ac:dyDescent="0.25">
      <c r="A21" s="17" t="str">
        <f>IFERROR(IF(LARGE(_CALC_ENGINE!H$4:H$58, 9)&lt;=0, "", 9), "")</f>
        <v/>
      </c>
      <c r="B21" s="7" t="str">
        <f>IFERROR(IF(LARGE(_CALC_ENGINE!H$4:H$58, 9)&lt;=0, "", INDEX(_CALC_ENGINE!B$4:B$58, MATCH(LARGE(_CALC_ENGINE!H$4:H$58, 9), _CALC_ENGINE!H$4:H$58, 0))), "")</f>
        <v/>
      </c>
      <c r="C21" s="7" t="str">
        <f>IFERROR(IF(LARGE(_CALC_ENGINE!H$4:H$58, 9)&lt;=0, "", INDEX(_CALC_ENGINE!C$4:C$58, MATCH(LARGE(_CALC_ENGINE!H$4:H$58, 9), _CALC_ENGINE!H$4:H$58, 0))), "")</f>
        <v/>
      </c>
      <c r="D21" s="7" t="str">
        <f>IFERROR(IF(LARGE(_CALC_ENGINE!H$4:H$58, 9)&lt;=0, "", INDEX(_CALC_ENGINE!D$4:D$58, MATCH(LARGE(_CALC_ENGINE!H$4:H$58, 9), _CALC_ENGINE!H$4:H$58, 0))), "")</f>
        <v/>
      </c>
      <c r="E21" s="14" t="str">
        <f>IFERROR(IF(LARGE(_CALC_ENGINE!H$4:H$58, 9)&lt;=0, "", INDEX(_CALC_ENGINE!E$4:E$58, MATCH(LARGE(_CALC_ENGINE!H$4:H$58, 9), _CALC_ENGINE!H$4:H$58, 0))), "")</f>
        <v/>
      </c>
      <c r="F21" s="14" t="str">
        <f>IFERROR(IF(LARGE(_CALC_ENGINE!H$4:H$58, 9)&lt;=0, "", INDEX(_CALC_ENGINE!F$4:F$58, MATCH(LARGE(_CALC_ENGINE!H$4:H$58, 9), _CALC_ENGINE!H$4:H$58, 0))), "")</f>
        <v/>
      </c>
      <c r="G21" s="15" t="str">
        <f>IFERROR(IF(LARGE(_CALC_ENGINE!H$4:H$58, 9)&lt;=0, "", INDEX(_CALC_ENGINE!G$4:G$58, MATCH(LARGE(_CALC_ENGINE!H$4:H$58, 9), _CALC_ENGINE!H$4:H$58, 0))), "")</f>
        <v/>
      </c>
      <c r="H21" s="18" t="str">
        <f>IFERROR(IF(OR(LARGE(_CALC_ENGINE!H$4:H$58, 9)&lt;=0, $D$8&lt;=0, G21=""), "", G21/$D$8), "")</f>
        <v/>
      </c>
      <c r="I21" s="2"/>
      <c r="J21" s="20"/>
    </row>
    <row r="22" spans="1:10" x14ac:dyDescent="0.25">
      <c r="A22" s="17" t="str">
        <f>IFERROR(IF(LARGE(_CALC_ENGINE!H$4:H$58, 10)&lt;=0, "", 10), "")</f>
        <v/>
      </c>
      <c r="B22" s="7" t="str">
        <f>IFERROR(IF(LARGE(_CALC_ENGINE!H$4:H$58, 10)&lt;=0, "", INDEX(_CALC_ENGINE!B$4:B$58, MATCH(LARGE(_CALC_ENGINE!H$4:H$58, 10), _CALC_ENGINE!H$4:H$58, 0))), "")</f>
        <v/>
      </c>
      <c r="C22" s="7" t="str">
        <f>IFERROR(IF(LARGE(_CALC_ENGINE!H$4:H$58, 10)&lt;=0, "", INDEX(_CALC_ENGINE!C$4:C$58, MATCH(LARGE(_CALC_ENGINE!H$4:H$58, 10), _CALC_ENGINE!H$4:H$58, 0))), "")</f>
        <v/>
      </c>
      <c r="D22" s="7" t="str">
        <f>IFERROR(IF(LARGE(_CALC_ENGINE!H$4:H$58, 10)&lt;=0, "", INDEX(_CALC_ENGINE!D$4:D$58, MATCH(LARGE(_CALC_ENGINE!H$4:H$58, 10), _CALC_ENGINE!H$4:H$58, 0))), "")</f>
        <v/>
      </c>
      <c r="E22" s="14" t="str">
        <f>IFERROR(IF(LARGE(_CALC_ENGINE!H$4:H$58, 10)&lt;=0, "", INDEX(_CALC_ENGINE!E$4:E$58, MATCH(LARGE(_CALC_ENGINE!H$4:H$58, 10), _CALC_ENGINE!H$4:H$58, 0))), "")</f>
        <v/>
      </c>
      <c r="F22" s="14" t="str">
        <f>IFERROR(IF(LARGE(_CALC_ENGINE!H$4:H$58, 10)&lt;=0, "", INDEX(_CALC_ENGINE!F$4:F$58, MATCH(LARGE(_CALC_ENGINE!H$4:H$58, 10), _CALC_ENGINE!H$4:H$58, 0))), "")</f>
        <v/>
      </c>
      <c r="G22" s="15" t="str">
        <f>IFERROR(IF(LARGE(_CALC_ENGINE!H$4:H$58, 10)&lt;=0, "", INDEX(_CALC_ENGINE!G$4:G$58, MATCH(LARGE(_CALC_ENGINE!H$4:H$58, 10), _CALC_ENGINE!H$4:H$58, 0))), "")</f>
        <v/>
      </c>
      <c r="H22" s="18" t="str">
        <f>IFERROR(IF(OR(LARGE(_CALC_ENGINE!H$4:H$58, 10)&lt;=0, $D$8&lt;=0, G22=""), "", G22/$D$8), "")</f>
        <v/>
      </c>
      <c r="I22" s="2"/>
      <c r="J22" s="20"/>
    </row>
  </sheetData>
  <mergeCells count="3">
    <mergeCell ref="A1:F1"/>
    <mergeCell ref="A3:F3"/>
    <mergeCell ref="A11:J11"/>
  </mergeCells>
  <dataValidations count="1">
    <dataValidation type="list" allowBlank="1" sqref="I13:I22" xr:uid="{00000000-0002-0000-0400-000000000000}">
      <formula1>"Controllable,Uncontrollable"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1_MASTER_RATES</vt:lpstr>
      <vt:lpstr>2_BOM_BREAKDOWN</vt:lpstr>
      <vt:lpstr>3_ROUTING_BREAKDOWN</vt:lpstr>
      <vt:lpstr>_CALC_ENGINE</vt:lpstr>
      <vt:lpstr>4_SUMMARY_&amp;_COMPARISON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2026-08-17T09:08:54Z</dcterms:created>
  <dcterms:modified xsi:type="dcterms:W3CDTF">2026-08-17T09:09:09Z</dcterms:modified>
  <cp:category/>
</cp:coreProperties>
</file>