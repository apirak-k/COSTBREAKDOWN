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B7433FB3-86A7-4C17-8BC9-AFC29BC1D47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_MASTER_RATES" sheetId="1" r:id="rId1"/>
    <sheet name="2_BOM_BREAKDOWN" sheetId="2" r:id="rId2"/>
    <sheet name="3_ROUTING_BREAKDOWN" sheetId="3" r:id="rId3"/>
    <sheet name="_CALC_ENGINE" sheetId="4" state="hidden" r:id="rId4"/>
    <sheet name="4_SUMMARY_&amp;_COMPARIS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4" l="1"/>
  <c r="F50" i="4"/>
  <c r="E50" i="4"/>
  <c r="D50" i="4"/>
  <c r="C50" i="4"/>
  <c r="G49" i="4"/>
  <c r="F49" i="4"/>
  <c r="E49" i="4"/>
  <c r="D49" i="4"/>
  <c r="C49" i="4"/>
  <c r="G48" i="4"/>
  <c r="F48" i="4"/>
  <c r="E48" i="4"/>
  <c r="D48" i="4"/>
  <c r="C48" i="4"/>
  <c r="G47" i="4"/>
  <c r="F47" i="4"/>
  <c r="E47" i="4"/>
  <c r="D47" i="4"/>
  <c r="C47" i="4"/>
  <c r="G46" i="4"/>
  <c r="F46" i="4"/>
  <c r="E46" i="4"/>
  <c r="D46" i="4"/>
  <c r="C46" i="4"/>
  <c r="G45" i="4"/>
  <c r="F45" i="4"/>
  <c r="E45" i="4"/>
  <c r="D45" i="4"/>
  <c r="C45" i="4"/>
  <c r="G44" i="4"/>
  <c r="F44" i="4"/>
  <c r="E44" i="4"/>
  <c r="D44" i="4"/>
  <c r="C44" i="4"/>
  <c r="G43" i="4"/>
  <c r="F43" i="4"/>
  <c r="E43" i="4"/>
  <c r="D43" i="4"/>
  <c r="C43" i="4"/>
  <c r="G42" i="4"/>
  <c r="F42" i="4"/>
  <c r="E42" i="4"/>
  <c r="D42" i="4"/>
  <c r="C42" i="4"/>
  <c r="G41" i="4"/>
  <c r="F41" i="4"/>
  <c r="E41" i="4"/>
  <c r="D41" i="4"/>
  <c r="C41" i="4"/>
  <c r="G40" i="4"/>
  <c r="F40" i="4"/>
  <c r="E40" i="4"/>
  <c r="D40" i="4"/>
  <c r="C40" i="4"/>
  <c r="G39" i="4"/>
  <c r="F39" i="4"/>
  <c r="E39" i="4"/>
  <c r="D39" i="4"/>
  <c r="C39" i="4"/>
  <c r="G38" i="4"/>
  <c r="F38" i="4"/>
  <c r="E38" i="4"/>
  <c r="D38" i="4"/>
  <c r="C38" i="4"/>
  <c r="G37" i="4"/>
  <c r="F37" i="4"/>
  <c r="E37" i="4"/>
  <c r="D37" i="4"/>
  <c r="C37" i="4"/>
  <c r="G36" i="4"/>
  <c r="F36" i="4"/>
  <c r="E36" i="4"/>
  <c r="D36" i="4"/>
  <c r="C36" i="4"/>
  <c r="G35" i="4"/>
  <c r="F35" i="4"/>
  <c r="E35" i="4"/>
  <c r="D35" i="4"/>
  <c r="C35" i="4"/>
  <c r="G34" i="4"/>
  <c r="F34" i="4"/>
  <c r="E34" i="4"/>
  <c r="D34" i="4"/>
  <c r="C34" i="4"/>
  <c r="G33" i="4"/>
  <c r="F33" i="4"/>
  <c r="E33" i="4"/>
  <c r="D33" i="4"/>
  <c r="C33" i="4"/>
  <c r="G32" i="4"/>
  <c r="F32" i="4"/>
  <c r="E32" i="4"/>
  <c r="D32" i="4"/>
  <c r="C32" i="4"/>
  <c r="G31" i="4"/>
  <c r="F31" i="4"/>
  <c r="E31" i="4"/>
  <c r="D31" i="4"/>
  <c r="C31" i="4"/>
  <c r="G30" i="4"/>
  <c r="F30" i="4"/>
  <c r="E30" i="4"/>
  <c r="D30" i="4"/>
  <c r="C30" i="4"/>
  <c r="G29" i="4"/>
  <c r="F29" i="4"/>
  <c r="E29" i="4"/>
  <c r="D29" i="4"/>
  <c r="C29" i="4"/>
  <c r="G28" i="4"/>
  <c r="F28" i="4"/>
  <c r="E28" i="4"/>
  <c r="D28" i="4"/>
  <c r="C28" i="4"/>
  <c r="G27" i="4"/>
  <c r="F27" i="4"/>
  <c r="E27" i="4"/>
  <c r="D27" i="4"/>
  <c r="C27" i="4"/>
  <c r="G26" i="4"/>
  <c r="F26" i="4"/>
  <c r="E26" i="4"/>
  <c r="D26" i="4"/>
  <c r="C26" i="4"/>
  <c r="G25" i="4"/>
  <c r="F25" i="4"/>
  <c r="E25" i="4"/>
  <c r="D25" i="4"/>
  <c r="C25" i="4"/>
  <c r="G24" i="4"/>
  <c r="F24" i="4"/>
  <c r="E24" i="4"/>
  <c r="D24" i="4"/>
  <c r="C24" i="4"/>
  <c r="G23" i="4"/>
  <c r="F23" i="4"/>
  <c r="E23" i="4"/>
  <c r="D23" i="4"/>
  <c r="C23" i="4"/>
  <c r="G22" i="4"/>
  <c r="F22" i="4"/>
  <c r="E22" i="4"/>
  <c r="D22" i="4"/>
  <c r="C22" i="4"/>
  <c r="G21" i="4"/>
  <c r="F21" i="4"/>
  <c r="E21" i="4"/>
  <c r="D21" i="4"/>
  <c r="C21" i="4"/>
  <c r="G20" i="4"/>
  <c r="F20" i="4"/>
  <c r="E20" i="4"/>
  <c r="D20" i="4"/>
  <c r="C20" i="4"/>
  <c r="G19" i="4"/>
  <c r="F19" i="4"/>
  <c r="E19" i="4"/>
  <c r="D19" i="4"/>
  <c r="C19" i="4"/>
  <c r="G18" i="4"/>
  <c r="F18" i="4"/>
  <c r="E18" i="4"/>
  <c r="D18" i="4"/>
  <c r="C18" i="4"/>
  <c r="G17" i="4"/>
  <c r="F17" i="4"/>
  <c r="E17" i="4"/>
  <c r="D17" i="4"/>
  <c r="C17" i="4"/>
  <c r="G16" i="4"/>
  <c r="F16" i="4"/>
  <c r="E16" i="4"/>
  <c r="D16" i="4"/>
  <c r="C16" i="4"/>
  <c r="G15" i="4"/>
  <c r="F15" i="4"/>
  <c r="E15" i="4"/>
  <c r="D15" i="4"/>
  <c r="C15" i="4"/>
  <c r="G14" i="4"/>
  <c r="F14" i="4"/>
  <c r="E14" i="4"/>
  <c r="D14" i="4"/>
  <c r="C14" i="4"/>
  <c r="G13" i="4"/>
  <c r="F13" i="4"/>
  <c r="E13" i="4"/>
  <c r="D13" i="4"/>
  <c r="C13" i="4"/>
  <c r="G12" i="4"/>
  <c r="F12" i="4"/>
  <c r="E12" i="4"/>
  <c r="D12" i="4"/>
  <c r="C12" i="4"/>
  <c r="G11" i="4"/>
  <c r="F11" i="4"/>
  <c r="E11" i="4"/>
  <c r="D11" i="4"/>
  <c r="C11" i="4"/>
  <c r="G10" i="4"/>
  <c r="F10" i="4"/>
  <c r="E10" i="4"/>
  <c r="D10" i="4"/>
  <c r="C10" i="4"/>
  <c r="G9" i="4"/>
  <c r="F9" i="4"/>
  <c r="E9" i="4"/>
  <c r="D9" i="4"/>
  <c r="C9" i="4"/>
  <c r="G8" i="4"/>
  <c r="F8" i="4"/>
  <c r="E8" i="4"/>
  <c r="D8" i="4"/>
  <c r="C8" i="4"/>
  <c r="G7" i="4"/>
  <c r="F7" i="4"/>
  <c r="E7" i="4"/>
  <c r="D7" i="4"/>
  <c r="C7" i="4"/>
  <c r="G6" i="4"/>
  <c r="F6" i="4"/>
  <c r="E6" i="4"/>
  <c r="D6" i="4"/>
  <c r="C6" i="4"/>
  <c r="G5" i="4"/>
  <c r="F5" i="4"/>
  <c r="E5" i="4"/>
  <c r="D5" i="4"/>
  <c r="C5" i="4"/>
  <c r="G4" i="4"/>
  <c r="F4" i="4"/>
  <c r="E4" i="4"/>
  <c r="D4" i="4"/>
  <c r="C4" i="4"/>
  <c r="G3" i="4"/>
  <c r="F3" i="4"/>
  <c r="E3" i="4"/>
  <c r="D3" i="4"/>
  <c r="C3" i="4"/>
  <c r="G2" i="4"/>
  <c r="F2" i="4"/>
  <c r="E2" i="4"/>
  <c r="D2" i="4"/>
  <c r="C2" i="4"/>
  <c r="I85" i="3"/>
  <c r="H85" i="3"/>
  <c r="G85" i="3"/>
  <c r="F85" i="3"/>
  <c r="L85" i="3" s="1"/>
  <c r="E85" i="3"/>
  <c r="K85" i="3" s="1"/>
  <c r="M85" i="3" s="1"/>
  <c r="D85" i="3"/>
  <c r="C85" i="3"/>
  <c r="B85" i="3"/>
  <c r="A85" i="3"/>
  <c r="F84" i="3"/>
  <c r="L84" i="3" s="1"/>
  <c r="E84" i="3"/>
  <c r="K84" i="3" s="1"/>
  <c r="M84" i="3" s="1"/>
  <c r="D84" i="3"/>
  <c r="C84" i="3"/>
  <c r="B84" i="3"/>
  <c r="A84" i="3"/>
  <c r="F83" i="3"/>
  <c r="L83" i="3" s="1"/>
  <c r="E83" i="3"/>
  <c r="K83" i="3" s="1"/>
  <c r="M83" i="3" s="1"/>
  <c r="D83" i="3"/>
  <c r="C83" i="3"/>
  <c r="B83" i="3"/>
  <c r="A83" i="3"/>
  <c r="L82" i="3"/>
  <c r="I82" i="3"/>
  <c r="O82" i="3" s="1"/>
  <c r="F82" i="3"/>
  <c r="E82" i="3"/>
  <c r="K82" i="3" s="1"/>
  <c r="M82" i="3" s="1"/>
  <c r="D82" i="3"/>
  <c r="C82" i="3"/>
  <c r="B82" i="3"/>
  <c r="A82" i="3"/>
  <c r="F81" i="3"/>
  <c r="L81" i="3" s="1"/>
  <c r="E81" i="3"/>
  <c r="G81" i="3" s="1"/>
  <c r="D81" i="3"/>
  <c r="C81" i="3"/>
  <c r="B81" i="3"/>
  <c r="A81" i="3"/>
  <c r="I80" i="3"/>
  <c r="H80" i="3"/>
  <c r="G80" i="3"/>
  <c r="F80" i="3"/>
  <c r="L80" i="3" s="1"/>
  <c r="E80" i="3"/>
  <c r="K80" i="3" s="1"/>
  <c r="M80" i="3" s="1"/>
  <c r="D80" i="3"/>
  <c r="C80" i="3"/>
  <c r="B80" i="3"/>
  <c r="A80" i="3"/>
  <c r="I79" i="3"/>
  <c r="F79" i="3"/>
  <c r="L79" i="3" s="1"/>
  <c r="E79" i="3"/>
  <c r="K79" i="3" s="1"/>
  <c r="D79" i="3"/>
  <c r="C79" i="3"/>
  <c r="B79" i="3"/>
  <c r="A79" i="3"/>
  <c r="F78" i="3"/>
  <c r="L78" i="3" s="1"/>
  <c r="E78" i="3"/>
  <c r="K78" i="3" s="1"/>
  <c r="M78" i="3" s="1"/>
  <c r="D78" i="3"/>
  <c r="C78" i="3"/>
  <c r="B78" i="3"/>
  <c r="A78" i="3"/>
  <c r="L77" i="3"/>
  <c r="K77" i="3"/>
  <c r="M77" i="3" s="1"/>
  <c r="I77" i="3"/>
  <c r="O77" i="3" s="1"/>
  <c r="F77" i="3"/>
  <c r="E77" i="3"/>
  <c r="H77" i="3" s="1"/>
  <c r="D77" i="3"/>
  <c r="C77" i="3"/>
  <c r="B77" i="3"/>
  <c r="A77" i="3"/>
  <c r="F76" i="3"/>
  <c r="L76" i="3" s="1"/>
  <c r="E76" i="3"/>
  <c r="G76" i="3" s="1"/>
  <c r="D76" i="3"/>
  <c r="C76" i="3"/>
  <c r="B76" i="3"/>
  <c r="A76" i="3"/>
  <c r="I75" i="3"/>
  <c r="O75" i="3" s="1"/>
  <c r="H75" i="3"/>
  <c r="N75" i="3" s="1"/>
  <c r="G75" i="3"/>
  <c r="F75" i="3"/>
  <c r="L75" i="3" s="1"/>
  <c r="E75" i="3"/>
  <c r="K75" i="3" s="1"/>
  <c r="M75" i="3" s="1"/>
  <c r="D75" i="3"/>
  <c r="C75" i="3"/>
  <c r="B75" i="3"/>
  <c r="A75" i="3"/>
  <c r="I74" i="3"/>
  <c r="F74" i="3"/>
  <c r="L74" i="3" s="1"/>
  <c r="E74" i="3"/>
  <c r="K74" i="3" s="1"/>
  <c r="M74" i="3" s="1"/>
  <c r="D74" i="3"/>
  <c r="C74" i="3"/>
  <c r="B74" i="3"/>
  <c r="A74" i="3"/>
  <c r="F73" i="3"/>
  <c r="L73" i="3" s="1"/>
  <c r="E73" i="3"/>
  <c r="K73" i="3" s="1"/>
  <c r="M73" i="3" s="1"/>
  <c r="D73" i="3"/>
  <c r="C73" i="3"/>
  <c r="B73" i="3"/>
  <c r="A73" i="3"/>
  <c r="L72" i="3"/>
  <c r="K72" i="3"/>
  <c r="M72" i="3" s="1"/>
  <c r="I72" i="3"/>
  <c r="O72" i="3" s="1"/>
  <c r="F72" i="3"/>
  <c r="E72" i="3"/>
  <c r="H72" i="3" s="1"/>
  <c r="D72" i="3"/>
  <c r="C72" i="3"/>
  <c r="B72" i="3"/>
  <c r="A72" i="3"/>
  <c r="F71" i="3"/>
  <c r="L71" i="3" s="1"/>
  <c r="E71" i="3"/>
  <c r="G71" i="3" s="1"/>
  <c r="D71" i="3"/>
  <c r="C71" i="3"/>
  <c r="B71" i="3"/>
  <c r="A71" i="3"/>
  <c r="I70" i="3"/>
  <c r="H70" i="3"/>
  <c r="G70" i="3"/>
  <c r="F70" i="3"/>
  <c r="L70" i="3" s="1"/>
  <c r="E70" i="3"/>
  <c r="K70" i="3" s="1"/>
  <c r="M70" i="3" s="1"/>
  <c r="D70" i="3"/>
  <c r="C70" i="3"/>
  <c r="B70" i="3"/>
  <c r="A70" i="3"/>
  <c r="I69" i="3"/>
  <c r="F69" i="3"/>
  <c r="L69" i="3" s="1"/>
  <c r="E69" i="3"/>
  <c r="K69" i="3" s="1"/>
  <c r="M69" i="3" s="1"/>
  <c r="D69" i="3"/>
  <c r="C69" i="3"/>
  <c r="B69" i="3"/>
  <c r="A69" i="3"/>
  <c r="F68" i="3"/>
  <c r="L68" i="3" s="1"/>
  <c r="E68" i="3"/>
  <c r="K68" i="3" s="1"/>
  <c r="D68" i="3"/>
  <c r="C68" i="3"/>
  <c r="B68" i="3"/>
  <c r="A68" i="3"/>
  <c r="L67" i="3"/>
  <c r="K67" i="3"/>
  <c r="M67" i="3" s="1"/>
  <c r="I67" i="3"/>
  <c r="O67" i="3" s="1"/>
  <c r="F67" i="3"/>
  <c r="E67" i="3"/>
  <c r="H67" i="3" s="1"/>
  <c r="D67" i="3"/>
  <c r="C67" i="3"/>
  <c r="B67" i="3"/>
  <c r="A67" i="3"/>
  <c r="F66" i="3"/>
  <c r="L66" i="3" s="1"/>
  <c r="E66" i="3"/>
  <c r="H66" i="3" s="1"/>
  <c r="D66" i="3"/>
  <c r="C66" i="3"/>
  <c r="B66" i="3"/>
  <c r="A66" i="3"/>
  <c r="I65" i="3"/>
  <c r="H65" i="3"/>
  <c r="G65" i="3"/>
  <c r="F65" i="3"/>
  <c r="L65" i="3" s="1"/>
  <c r="E65" i="3"/>
  <c r="K65" i="3" s="1"/>
  <c r="M65" i="3" s="1"/>
  <c r="D65" i="3"/>
  <c r="C65" i="3"/>
  <c r="B65" i="3"/>
  <c r="A65" i="3"/>
  <c r="I64" i="3"/>
  <c r="F64" i="3"/>
  <c r="L64" i="3" s="1"/>
  <c r="E64" i="3"/>
  <c r="K64" i="3" s="1"/>
  <c r="M64" i="3" s="1"/>
  <c r="D64" i="3"/>
  <c r="C64" i="3"/>
  <c r="B64" i="3"/>
  <c r="A64" i="3"/>
  <c r="F63" i="3"/>
  <c r="L63" i="3" s="1"/>
  <c r="E63" i="3"/>
  <c r="K63" i="3" s="1"/>
  <c r="M63" i="3" s="1"/>
  <c r="D63" i="3"/>
  <c r="C63" i="3"/>
  <c r="B63" i="3"/>
  <c r="A63" i="3"/>
  <c r="L62" i="3"/>
  <c r="K62" i="3"/>
  <c r="M62" i="3" s="1"/>
  <c r="I62" i="3"/>
  <c r="O62" i="3" s="1"/>
  <c r="F62" i="3"/>
  <c r="E62" i="3"/>
  <c r="H62" i="3" s="1"/>
  <c r="D62" i="3"/>
  <c r="C62" i="3"/>
  <c r="B62" i="3"/>
  <c r="A62" i="3"/>
  <c r="F61" i="3"/>
  <c r="L61" i="3" s="1"/>
  <c r="E61" i="3"/>
  <c r="K61" i="3" s="1"/>
  <c r="M61" i="3" s="1"/>
  <c r="D61" i="3"/>
  <c r="C61" i="3"/>
  <c r="B61" i="3"/>
  <c r="A61" i="3"/>
  <c r="I60" i="3"/>
  <c r="O60" i="3" s="1"/>
  <c r="H60" i="3"/>
  <c r="N60" i="3" s="1"/>
  <c r="G60" i="3"/>
  <c r="F60" i="3"/>
  <c r="L60" i="3" s="1"/>
  <c r="E60" i="3"/>
  <c r="K60" i="3" s="1"/>
  <c r="M60" i="3" s="1"/>
  <c r="D60" i="3"/>
  <c r="C60" i="3"/>
  <c r="B60" i="3"/>
  <c r="A60" i="3"/>
  <c r="I59" i="3"/>
  <c r="F59" i="3"/>
  <c r="L59" i="3" s="1"/>
  <c r="E59" i="3"/>
  <c r="K59" i="3" s="1"/>
  <c r="M59" i="3" s="1"/>
  <c r="D59" i="3"/>
  <c r="C59" i="3"/>
  <c r="B59" i="3"/>
  <c r="A59" i="3"/>
  <c r="F58" i="3"/>
  <c r="L58" i="3" s="1"/>
  <c r="E58" i="3"/>
  <c r="K58" i="3" s="1"/>
  <c r="M58" i="3" s="1"/>
  <c r="D58" i="3"/>
  <c r="C58" i="3"/>
  <c r="B58" i="3"/>
  <c r="A58" i="3"/>
  <c r="L57" i="3"/>
  <c r="K57" i="3"/>
  <c r="M57" i="3" s="1"/>
  <c r="I57" i="3"/>
  <c r="O57" i="3" s="1"/>
  <c r="F57" i="3"/>
  <c r="E57" i="3"/>
  <c r="H57" i="3" s="1"/>
  <c r="D57" i="3"/>
  <c r="C57" i="3"/>
  <c r="B57" i="3"/>
  <c r="A57" i="3"/>
  <c r="F56" i="3"/>
  <c r="L56" i="3" s="1"/>
  <c r="E56" i="3"/>
  <c r="K56" i="3" s="1"/>
  <c r="D56" i="3"/>
  <c r="C56" i="3"/>
  <c r="B56" i="3"/>
  <c r="A56" i="3"/>
  <c r="I55" i="3"/>
  <c r="H55" i="3"/>
  <c r="G55" i="3"/>
  <c r="F55" i="3"/>
  <c r="L55" i="3" s="1"/>
  <c r="E55" i="3"/>
  <c r="K55" i="3" s="1"/>
  <c r="M55" i="3" s="1"/>
  <c r="D55" i="3"/>
  <c r="C55" i="3"/>
  <c r="B55" i="3"/>
  <c r="A55" i="3"/>
  <c r="I54" i="3"/>
  <c r="F54" i="3"/>
  <c r="L54" i="3" s="1"/>
  <c r="E54" i="3"/>
  <c r="K54" i="3" s="1"/>
  <c r="D54" i="3"/>
  <c r="C54" i="3"/>
  <c r="B54" i="3"/>
  <c r="A54" i="3"/>
  <c r="F53" i="3"/>
  <c r="L53" i="3" s="1"/>
  <c r="E53" i="3"/>
  <c r="K53" i="3" s="1"/>
  <c r="M53" i="3" s="1"/>
  <c r="D53" i="3"/>
  <c r="C53" i="3"/>
  <c r="B53" i="3"/>
  <c r="A53" i="3"/>
  <c r="L52" i="3"/>
  <c r="K52" i="3"/>
  <c r="M52" i="3" s="1"/>
  <c r="I52" i="3"/>
  <c r="O52" i="3" s="1"/>
  <c r="F52" i="3"/>
  <c r="E52" i="3"/>
  <c r="H52" i="3" s="1"/>
  <c r="D52" i="3"/>
  <c r="C52" i="3"/>
  <c r="B52" i="3"/>
  <c r="A52" i="3"/>
  <c r="F51" i="3"/>
  <c r="L51" i="3" s="1"/>
  <c r="E51" i="3"/>
  <c r="K51" i="3" s="1"/>
  <c r="M51" i="3" s="1"/>
  <c r="D51" i="3"/>
  <c r="C51" i="3"/>
  <c r="B51" i="3"/>
  <c r="A51" i="3"/>
  <c r="I50" i="3"/>
  <c r="H50" i="3"/>
  <c r="G50" i="3"/>
  <c r="F50" i="3"/>
  <c r="L50" i="3" s="1"/>
  <c r="E50" i="3"/>
  <c r="K50" i="3" s="1"/>
  <c r="M50" i="3" s="1"/>
  <c r="D50" i="3"/>
  <c r="C50" i="3"/>
  <c r="B50" i="3"/>
  <c r="A50" i="3"/>
  <c r="I49" i="3"/>
  <c r="F49" i="3"/>
  <c r="L49" i="3" s="1"/>
  <c r="E49" i="3"/>
  <c r="K49" i="3" s="1"/>
  <c r="M49" i="3" s="1"/>
  <c r="D49" i="3"/>
  <c r="C49" i="3"/>
  <c r="B49" i="3"/>
  <c r="A49" i="3"/>
  <c r="F48" i="3"/>
  <c r="L48" i="3" s="1"/>
  <c r="E48" i="3"/>
  <c r="K48" i="3" s="1"/>
  <c r="M48" i="3" s="1"/>
  <c r="D48" i="3"/>
  <c r="C48" i="3"/>
  <c r="B48" i="3"/>
  <c r="A48" i="3"/>
  <c r="L47" i="3"/>
  <c r="K47" i="3"/>
  <c r="I47" i="3"/>
  <c r="F47" i="3"/>
  <c r="E47" i="3"/>
  <c r="H47" i="3" s="1"/>
  <c r="D47" i="3"/>
  <c r="C47" i="3"/>
  <c r="B47" i="3"/>
  <c r="A47" i="3"/>
  <c r="E28" i="2"/>
  <c r="C5" i="5" s="1"/>
  <c r="G27" i="2"/>
  <c r="F27" i="2"/>
  <c r="E27" i="2"/>
  <c r="D27" i="2"/>
  <c r="D28" i="2" s="1"/>
  <c r="B5" i="5" s="1"/>
  <c r="C27" i="2"/>
  <c r="B27" i="2"/>
  <c r="A27" i="2"/>
  <c r="G26" i="2"/>
  <c r="F26" i="2"/>
  <c r="E26" i="2"/>
  <c r="D26" i="2"/>
  <c r="H26" i="2" s="1"/>
  <c r="H10" i="4" s="1"/>
  <c r="I10" i="4" s="1"/>
  <c r="C26" i="2"/>
  <c r="B26" i="2"/>
  <c r="A26" i="2"/>
  <c r="G25" i="2"/>
  <c r="F25" i="2"/>
  <c r="E25" i="2"/>
  <c r="D25" i="2"/>
  <c r="H25" i="2" s="1"/>
  <c r="H9" i="4" s="1"/>
  <c r="I9" i="4" s="1"/>
  <c r="C25" i="2"/>
  <c r="B25" i="2"/>
  <c r="A25" i="2"/>
  <c r="H24" i="2"/>
  <c r="H8" i="4" s="1"/>
  <c r="I8" i="4" s="1"/>
  <c r="G24" i="2"/>
  <c r="F24" i="2"/>
  <c r="E24" i="2"/>
  <c r="D24" i="2"/>
  <c r="C24" i="2"/>
  <c r="B24" i="2"/>
  <c r="A24" i="2"/>
  <c r="H23" i="2"/>
  <c r="H7" i="4" s="1"/>
  <c r="I7" i="4" s="1"/>
  <c r="G23" i="2"/>
  <c r="F23" i="2"/>
  <c r="E23" i="2"/>
  <c r="D23" i="2"/>
  <c r="C23" i="2"/>
  <c r="B23" i="2"/>
  <c r="A23" i="2"/>
  <c r="G22" i="2"/>
  <c r="F22" i="2"/>
  <c r="E22" i="2"/>
  <c r="D22" i="2"/>
  <c r="H22" i="2" s="1"/>
  <c r="H6" i="4" s="1"/>
  <c r="I6" i="4" s="1"/>
  <c r="C22" i="2"/>
  <c r="B22" i="2"/>
  <c r="A22" i="2"/>
  <c r="G21" i="2"/>
  <c r="F21" i="2"/>
  <c r="E21" i="2"/>
  <c r="D21" i="2"/>
  <c r="H21" i="2" s="1"/>
  <c r="H5" i="4" s="1"/>
  <c r="I5" i="4" s="1"/>
  <c r="C21" i="2"/>
  <c r="B21" i="2"/>
  <c r="A21" i="2"/>
  <c r="G20" i="2"/>
  <c r="F20" i="2"/>
  <c r="E20" i="2"/>
  <c r="D20" i="2"/>
  <c r="H20" i="2" s="1"/>
  <c r="H4" i="4" s="1"/>
  <c r="I4" i="4" s="1"/>
  <c r="C20" i="2"/>
  <c r="B20" i="2"/>
  <c r="A20" i="2"/>
  <c r="H19" i="2"/>
  <c r="H3" i="4" s="1"/>
  <c r="I3" i="4" s="1"/>
  <c r="G19" i="2"/>
  <c r="F19" i="2"/>
  <c r="E19" i="2"/>
  <c r="D19" i="2"/>
  <c r="C19" i="2"/>
  <c r="B19" i="2"/>
  <c r="A19" i="2"/>
  <c r="H18" i="2"/>
  <c r="G18" i="2"/>
  <c r="G28" i="2" s="1"/>
  <c r="F18" i="2"/>
  <c r="F28" i="2" s="1"/>
  <c r="E18" i="2"/>
  <c r="D18" i="2"/>
  <c r="C18" i="2"/>
  <c r="B18" i="2"/>
  <c r="A18" i="2"/>
  <c r="O59" i="3" l="1"/>
  <c r="J62" i="3"/>
  <c r="N62" i="3"/>
  <c r="P75" i="3"/>
  <c r="H40" i="4" s="1"/>
  <c r="I40" i="4" s="1"/>
  <c r="M54" i="3"/>
  <c r="P62" i="3"/>
  <c r="H27" i="4" s="1"/>
  <c r="I27" i="4" s="1"/>
  <c r="O54" i="3"/>
  <c r="P57" i="3"/>
  <c r="H22" i="4" s="1"/>
  <c r="I22" i="4" s="1"/>
  <c r="N65" i="3"/>
  <c r="O49" i="3"/>
  <c r="N52" i="3"/>
  <c r="J52" i="3"/>
  <c r="O65" i="3"/>
  <c r="P65" i="3" s="1"/>
  <c r="H30" i="4" s="1"/>
  <c r="I30" i="4" s="1"/>
  <c r="M68" i="3"/>
  <c r="M79" i="3"/>
  <c r="P67" i="3"/>
  <c r="H32" i="4" s="1"/>
  <c r="I32" i="4" s="1"/>
  <c r="N70" i="3"/>
  <c r="P52" i="3"/>
  <c r="H17" i="4" s="1"/>
  <c r="I17" i="4" s="1"/>
  <c r="O79" i="3"/>
  <c r="D5" i="5"/>
  <c r="E5" i="5" s="1"/>
  <c r="O55" i="3"/>
  <c r="O69" i="3"/>
  <c r="J72" i="3"/>
  <c r="N72" i="3"/>
  <c r="N57" i="3"/>
  <c r="J57" i="3"/>
  <c r="O70" i="3"/>
  <c r="J47" i="3"/>
  <c r="N47" i="3"/>
  <c r="P60" i="3"/>
  <c r="H25" i="4" s="1"/>
  <c r="I25" i="4" s="1"/>
  <c r="I86" i="3"/>
  <c r="C6" i="5" s="1"/>
  <c r="N55" i="3"/>
  <c r="N66" i="3"/>
  <c r="J66" i="3"/>
  <c r="O74" i="3"/>
  <c r="J77" i="3"/>
  <c r="N77" i="3"/>
  <c r="P77" i="3" s="1"/>
  <c r="H42" i="4" s="1"/>
  <c r="I42" i="4" s="1"/>
  <c r="N85" i="3"/>
  <c r="O85" i="3"/>
  <c r="P85" i="3" s="1"/>
  <c r="H50" i="4" s="1"/>
  <c r="I50" i="4" s="1"/>
  <c r="L86" i="3"/>
  <c r="C7" i="5" s="1"/>
  <c r="N50" i="3"/>
  <c r="O50" i="3"/>
  <c r="P50" i="3" s="1"/>
  <c r="H15" i="4" s="1"/>
  <c r="I15" i="4" s="1"/>
  <c r="P72" i="3"/>
  <c r="H37" i="4" s="1"/>
  <c r="I37" i="4" s="1"/>
  <c r="N80" i="3"/>
  <c r="M56" i="3"/>
  <c r="O64" i="3"/>
  <c r="N67" i="3"/>
  <c r="J67" i="3"/>
  <c r="O80" i="3"/>
  <c r="P80" i="3" s="1"/>
  <c r="H45" i="4" s="1"/>
  <c r="I45" i="4" s="1"/>
  <c r="G51" i="3"/>
  <c r="G56" i="3"/>
  <c r="H56" i="3"/>
  <c r="H61" i="3"/>
  <c r="H81" i="3"/>
  <c r="M47" i="3"/>
  <c r="I51" i="3"/>
  <c r="O51" i="3" s="1"/>
  <c r="I56" i="3"/>
  <c r="O56" i="3" s="1"/>
  <c r="I61" i="3"/>
  <c r="O61" i="3" s="1"/>
  <c r="I66" i="3"/>
  <c r="O66" i="3" s="1"/>
  <c r="I71" i="3"/>
  <c r="O71" i="3" s="1"/>
  <c r="I76" i="3"/>
  <c r="O76" i="3" s="1"/>
  <c r="I81" i="3"/>
  <c r="O81" i="3" s="1"/>
  <c r="H51" i="3"/>
  <c r="H76" i="3"/>
  <c r="G61" i="3"/>
  <c r="H71" i="3"/>
  <c r="H27" i="2"/>
  <c r="H11" i="4" s="1"/>
  <c r="I11" i="4" s="1"/>
  <c r="O47" i="3"/>
  <c r="K66" i="3"/>
  <c r="M66" i="3" s="1"/>
  <c r="K71" i="3"/>
  <c r="M71" i="3" s="1"/>
  <c r="K76" i="3"/>
  <c r="M76" i="3" s="1"/>
  <c r="K81" i="3"/>
  <c r="M81" i="3" s="1"/>
  <c r="J50" i="3"/>
  <c r="J55" i="3"/>
  <c r="J65" i="3"/>
  <c r="J70" i="3"/>
  <c r="J80" i="3"/>
  <c r="J85" i="3"/>
  <c r="J60" i="3"/>
  <c r="J75" i="3"/>
  <c r="G49" i="3"/>
  <c r="G54" i="3"/>
  <c r="G59" i="3"/>
  <c r="G64" i="3"/>
  <c r="G69" i="3"/>
  <c r="G74" i="3"/>
  <c r="G79" i="3"/>
  <c r="G84" i="3"/>
  <c r="H2" i="4"/>
  <c r="I2" i="4" s="1"/>
  <c r="H49" i="3"/>
  <c r="H54" i="3"/>
  <c r="H59" i="3"/>
  <c r="H64" i="3"/>
  <c r="H69" i="3"/>
  <c r="H74" i="3"/>
  <c r="H79" i="3"/>
  <c r="H84" i="3"/>
  <c r="I84" i="3"/>
  <c r="O84" i="3" s="1"/>
  <c r="G48" i="3"/>
  <c r="G53" i="3"/>
  <c r="G63" i="3"/>
  <c r="G68" i="3"/>
  <c r="G73" i="3"/>
  <c r="G78" i="3"/>
  <c r="G83" i="3"/>
  <c r="G58" i="3"/>
  <c r="H48" i="3"/>
  <c r="H53" i="3"/>
  <c r="H58" i="3"/>
  <c r="H63" i="3"/>
  <c r="H68" i="3"/>
  <c r="H73" i="3"/>
  <c r="H78" i="3"/>
  <c r="H83" i="3"/>
  <c r="I83" i="3"/>
  <c r="O83" i="3" s="1"/>
  <c r="I48" i="3"/>
  <c r="O48" i="3" s="1"/>
  <c r="I53" i="3"/>
  <c r="O53" i="3" s="1"/>
  <c r="I58" i="3"/>
  <c r="O58" i="3" s="1"/>
  <c r="I63" i="3"/>
  <c r="O63" i="3" s="1"/>
  <c r="I68" i="3"/>
  <c r="O68" i="3" s="1"/>
  <c r="I73" i="3"/>
  <c r="O73" i="3" s="1"/>
  <c r="I78" i="3"/>
  <c r="O78" i="3" s="1"/>
  <c r="G47" i="3"/>
  <c r="G52" i="3"/>
  <c r="G57" i="3"/>
  <c r="G62" i="3"/>
  <c r="G67" i="3"/>
  <c r="G72" i="3"/>
  <c r="G77" i="3"/>
  <c r="G82" i="3"/>
  <c r="H82" i="3"/>
  <c r="G66" i="3"/>
  <c r="N59" i="3" l="1"/>
  <c r="J59" i="3"/>
  <c r="N54" i="3"/>
  <c r="P54" i="3" s="1"/>
  <c r="H19" i="4" s="1"/>
  <c r="I19" i="4" s="1"/>
  <c r="J54" i="3"/>
  <c r="J58" i="3"/>
  <c r="N58" i="3"/>
  <c r="J68" i="3"/>
  <c r="N68" i="3"/>
  <c r="H28" i="2"/>
  <c r="N49" i="3"/>
  <c r="P49" i="3" s="1"/>
  <c r="H14" i="4" s="1"/>
  <c r="I14" i="4" s="1"/>
  <c r="J49" i="3"/>
  <c r="O86" i="3"/>
  <c r="P47" i="3"/>
  <c r="J73" i="3"/>
  <c r="N73" i="3"/>
  <c r="P73" i="3" s="1"/>
  <c r="H38" i="4" s="1"/>
  <c r="I38" i="4" s="1"/>
  <c r="N82" i="3"/>
  <c r="P82" i="3" s="1"/>
  <c r="H47" i="4" s="1"/>
  <c r="I47" i="4" s="1"/>
  <c r="J82" i="3"/>
  <c r="D6" i="5"/>
  <c r="J48" i="3"/>
  <c r="N48" i="3"/>
  <c r="N86" i="3" s="1"/>
  <c r="N71" i="3"/>
  <c r="J71" i="3"/>
  <c r="P78" i="3"/>
  <c r="H43" i="4" s="1"/>
  <c r="I43" i="4" s="1"/>
  <c r="P79" i="3"/>
  <c r="H44" i="4" s="1"/>
  <c r="I44" i="4" s="1"/>
  <c r="P76" i="3"/>
  <c r="H41" i="4" s="1"/>
  <c r="I41" i="4" s="1"/>
  <c r="J53" i="3"/>
  <c r="N53" i="3"/>
  <c r="P53" i="3" s="1"/>
  <c r="H18" i="4" s="1"/>
  <c r="I18" i="4" s="1"/>
  <c r="N51" i="3"/>
  <c r="P51" i="3" s="1"/>
  <c r="H16" i="4" s="1"/>
  <c r="I16" i="4" s="1"/>
  <c r="J51" i="3"/>
  <c r="J86" i="3" s="1"/>
  <c r="N63" i="3"/>
  <c r="J63" i="3"/>
  <c r="H86" i="3"/>
  <c r="B6" i="5" s="1"/>
  <c r="P81" i="3"/>
  <c r="H46" i="4" s="1"/>
  <c r="I46" i="4" s="1"/>
  <c r="P70" i="3"/>
  <c r="H35" i="4" s="1"/>
  <c r="I35" i="4" s="1"/>
  <c r="P66" i="3"/>
  <c r="H31" i="4" s="1"/>
  <c r="I31" i="4" s="1"/>
  <c r="N56" i="3"/>
  <c r="P56" i="3" s="1"/>
  <c r="H21" i="4" s="1"/>
  <c r="I21" i="4" s="1"/>
  <c r="J56" i="3"/>
  <c r="P64" i="3"/>
  <c r="H29" i="4" s="1"/>
  <c r="I29" i="4" s="1"/>
  <c r="N76" i="3"/>
  <c r="J76" i="3"/>
  <c r="P68" i="3"/>
  <c r="H33" i="4" s="1"/>
  <c r="I33" i="4" s="1"/>
  <c r="P71" i="3"/>
  <c r="H36" i="4" s="1"/>
  <c r="I36" i="4" s="1"/>
  <c r="P63" i="3"/>
  <c r="H28" i="4" s="1"/>
  <c r="I28" i="4" s="1"/>
  <c r="D7" i="5"/>
  <c r="P58" i="3"/>
  <c r="H23" i="4" s="1"/>
  <c r="I23" i="4" s="1"/>
  <c r="N84" i="3"/>
  <c r="P84" i="3" s="1"/>
  <c r="H49" i="4" s="1"/>
  <c r="I49" i="4" s="1"/>
  <c r="J84" i="3"/>
  <c r="K86" i="3"/>
  <c r="B7" i="5" s="1"/>
  <c r="N79" i="3"/>
  <c r="J79" i="3"/>
  <c r="N74" i="3"/>
  <c r="P74" i="3" s="1"/>
  <c r="H39" i="4" s="1"/>
  <c r="I39" i="4" s="1"/>
  <c r="J74" i="3"/>
  <c r="M86" i="3"/>
  <c r="J83" i="3"/>
  <c r="N83" i="3"/>
  <c r="P83" i="3" s="1"/>
  <c r="H48" i="4" s="1"/>
  <c r="I48" i="4" s="1"/>
  <c r="N69" i="3"/>
  <c r="P69" i="3" s="1"/>
  <c r="H34" i="4" s="1"/>
  <c r="I34" i="4" s="1"/>
  <c r="J69" i="3"/>
  <c r="N81" i="3"/>
  <c r="J81" i="3"/>
  <c r="P55" i="3"/>
  <c r="H20" i="4" s="1"/>
  <c r="I20" i="4" s="1"/>
  <c r="J78" i="3"/>
  <c r="N78" i="3"/>
  <c r="N64" i="3"/>
  <c r="J64" i="3"/>
  <c r="N61" i="3"/>
  <c r="P61" i="3" s="1"/>
  <c r="H26" i="4" s="1"/>
  <c r="I26" i="4" s="1"/>
  <c r="J61" i="3"/>
  <c r="C8" i="5"/>
  <c r="P59" i="3"/>
  <c r="H24" i="4" s="1"/>
  <c r="I24" i="4" s="1"/>
  <c r="D8" i="5" l="1"/>
  <c r="P48" i="3"/>
  <c r="H13" i="4" s="1"/>
  <c r="I13" i="4" s="1"/>
  <c r="E7" i="5"/>
  <c r="E6" i="5"/>
  <c r="B8" i="5"/>
  <c r="H12" i="4"/>
  <c r="I12" i="4" s="1"/>
  <c r="P86" i="3" l="1"/>
  <c r="G17" i="5"/>
  <c r="G15" i="5"/>
  <c r="G18" i="5"/>
  <c r="G22" i="5"/>
  <c r="G21" i="5"/>
  <c r="G13" i="5"/>
  <c r="G14" i="5"/>
  <c r="G16" i="5"/>
  <c r="G19" i="5"/>
  <c r="G20" i="5"/>
  <c r="E8" i="5"/>
  <c r="E20" i="5" l="1"/>
  <c r="D20" i="5"/>
  <c r="B20" i="5"/>
  <c r="I20" i="5"/>
  <c r="H20" i="5"/>
  <c r="C20" i="5"/>
  <c r="F20" i="5"/>
  <c r="I19" i="5"/>
  <c r="H19" i="5"/>
  <c r="F19" i="5"/>
  <c r="E19" i="5"/>
  <c r="D19" i="5"/>
  <c r="C19" i="5"/>
  <c r="B19" i="5"/>
  <c r="I16" i="5"/>
  <c r="H16" i="5"/>
  <c r="F16" i="5"/>
  <c r="E16" i="5"/>
  <c r="D16" i="5"/>
  <c r="B16" i="5"/>
  <c r="C16" i="5"/>
  <c r="I14" i="5"/>
  <c r="H14" i="5"/>
  <c r="F14" i="5"/>
  <c r="E14" i="5"/>
  <c r="D14" i="5"/>
  <c r="C14" i="5"/>
  <c r="B14" i="5"/>
  <c r="I13" i="5"/>
  <c r="H13" i="5"/>
  <c r="F13" i="5"/>
  <c r="E13" i="5"/>
  <c r="D13" i="5"/>
  <c r="C13" i="5"/>
  <c r="B13" i="5"/>
  <c r="I22" i="5"/>
  <c r="H22" i="5"/>
  <c r="F22" i="5"/>
  <c r="E22" i="5"/>
  <c r="D22" i="5"/>
  <c r="C22" i="5"/>
  <c r="B22" i="5"/>
  <c r="I17" i="5"/>
  <c r="H17" i="5"/>
  <c r="F17" i="5"/>
  <c r="E17" i="5"/>
  <c r="D17" i="5"/>
  <c r="C17" i="5"/>
  <c r="B17" i="5"/>
  <c r="I21" i="5"/>
  <c r="H21" i="5"/>
  <c r="F21" i="5"/>
  <c r="E21" i="5"/>
  <c r="B21" i="5"/>
  <c r="D21" i="5"/>
  <c r="C21" i="5"/>
  <c r="I18" i="5"/>
  <c r="H18" i="5"/>
  <c r="F18" i="5"/>
  <c r="E18" i="5"/>
  <c r="D18" i="5"/>
  <c r="C18" i="5"/>
  <c r="B18" i="5"/>
  <c r="E15" i="5"/>
  <c r="D15" i="5"/>
  <c r="B15" i="5"/>
  <c r="I15" i="5"/>
  <c r="H15" i="5"/>
  <c r="C15" i="5"/>
  <c r="F1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Unit of Measure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Unit of Measure</t>
        </r>
      </text>
    </comment>
    <comment ref="D1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Consumption * Base Price * (1 + Base Loss%)</t>
        </r>
      </text>
    </comment>
    <comment ref="E1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Consumption * Active Price * (1 + Active Loss%)</t>
        </r>
      </text>
    </comment>
    <comment ref="F17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(Active Price - Base Price) * Consumption * (1 + Active Loss%)</t>
        </r>
      </text>
    </comment>
    <comment ref="G17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(Active Loss% - Base Loss%) * Consumption * Base Price</t>
        </r>
      </text>
    </comment>
    <comment ref="H1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Active Cost - Base Cost = Price Var + Loss Var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Machine and Man working hour</t>
        </r>
      </text>
    </comment>
    <comment ref="E4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MHr / (Base Capacity * Base Yield%)</t>
        </r>
      </text>
    </comment>
    <comment ref="F4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MHr / (Active Capacity * Active Yield%)</t>
        </r>
      </text>
    </comment>
    <comment ref="G4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Active Runtime - Base Runtime</t>
        </r>
      </text>
    </comment>
    <comment ref="H4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Base Runtime * Labor Rate</t>
        </r>
      </text>
    </comment>
    <comment ref="I4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Active Runtime * Labor Rate</t>
        </r>
      </text>
    </comment>
    <comment ref="J46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Active Labor - Base Labor</t>
        </r>
      </text>
    </comment>
    <comment ref="K4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Base Runtime * Burden Rate</t>
        </r>
      </text>
    </comment>
    <comment ref="L4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Active Runtime * Burden Rate</t>
        </r>
      </text>
    </comment>
    <comment ref="M4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Active Burden - Base Burden</t>
        </r>
      </text>
    </comment>
    <comment ref="N4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Base Labor + Base Burden</t>
        </r>
      </text>
    </comment>
    <comment ref="O4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Active Labor + Active Burden</t>
        </r>
      </text>
    </comment>
    <comment ref="P4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Active Process Cost - Base Process Cost = Δ Labor + Δ Burden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Active Current Std - Baseline Ref Std</t>
        </r>
      </text>
    </comment>
    <comment ref="E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(Variance / Baseline Ref Std) * 100%</t>
        </r>
      </text>
    </comment>
    <comment ref="H12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(Cost Gap of Driver / Total Std Variance) * 100%</t>
        </r>
      </text>
    </comment>
    <comment ref="I12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Default: Controllable (Internal Action). Automatically becomes Uncontrollable when Remark is specified.</t>
        </r>
      </text>
    </comment>
    <comment ref="J12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Leave blank for normal internal action, or specify reason if uncontrollable (external constraint).</t>
        </r>
      </text>
    </comment>
  </commentList>
</comments>
</file>

<file path=xl/sharedStrings.xml><?xml version="1.0" encoding="utf-8"?>
<sst xmlns="http://schemas.openxmlformats.org/spreadsheetml/2006/main" count="385" uniqueCount="213">
  <si>
    <t>PRODUCT INFO &amp; WORK CENTER RATES</t>
  </si>
  <si>
    <t>PRODUCT INFO</t>
  </si>
  <si>
    <t>Product Code</t>
  </si>
  <si>
    <t>Product Name / Description</t>
  </si>
  <si>
    <t>UOM</t>
  </si>
  <si>
    <t>Source Reference</t>
  </si>
  <si>
    <t>RGOM-024</t>
  </si>
  <si>
    <t>RGOM-024 Membrane Switch Panel</t>
  </si>
  <si>
    <t>PC</t>
  </si>
  <si>
    <t>Cost declare 250331</t>
  </si>
  <si>
    <t>WORK CENTER RATES (THB / MHr)</t>
  </si>
  <si>
    <t>Work Center (WC)</t>
  </si>
  <si>
    <t>Department Description</t>
  </si>
  <si>
    <t>Labor Rate (THB/MHr)</t>
  </si>
  <si>
    <t>Burden Rate (THB/MHr)</t>
  </si>
  <si>
    <t>Effective Date</t>
  </si>
  <si>
    <t>WC-CUT</t>
  </si>
  <si>
    <t>Cutting Line</t>
  </si>
  <si>
    <t>2025-03-31</t>
  </si>
  <si>
    <t>Cost declare 250331 row 17</t>
  </si>
  <si>
    <t>WC-PRT</t>
  </si>
  <si>
    <t>Printing Line</t>
  </si>
  <si>
    <t>Cost declare 250331 row 18</t>
  </si>
  <si>
    <t>WC-ASY</t>
  </si>
  <si>
    <t>Assembly Line</t>
  </si>
  <si>
    <t>Cost declare 250331 row 19</t>
  </si>
  <si>
    <t>WC-QAP</t>
  </si>
  <si>
    <t>QA &amp; Packing Line</t>
  </si>
  <si>
    <t>Cost declare 250331 row 20</t>
  </si>
  <si>
    <t>DIRECT MATERIAL COST BREAKDOWN (BOM)</t>
  </si>
  <si>
    <t>BOM MATERIAL INPUT</t>
  </si>
  <si>
    <t>Item No</t>
  </si>
  <si>
    <t>Material Code</t>
  </si>
  <si>
    <t>Material Description</t>
  </si>
  <si>
    <t>Consumption</t>
  </si>
  <si>
    <t>Base Price (THB)</t>
  </si>
  <si>
    <t>Active Price (THB)</t>
  </si>
  <si>
    <t>Base Loss %</t>
  </si>
  <si>
    <t>Active Loss %</t>
  </si>
  <si>
    <t>RMMBA1020</t>
  </si>
  <si>
    <t>DOTITE XA-3645 Conductive Silver Paste Ink</t>
  </si>
  <si>
    <t>GM</t>
  </si>
  <si>
    <t>RMMBA1030</t>
  </si>
  <si>
    <t>FEC-4023 Carbon Resistive Paste Ink</t>
  </si>
  <si>
    <t>RMMBA1040</t>
  </si>
  <si>
    <t>PTF-3201N UV Dielectric Insulating Paste</t>
  </si>
  <si>
    <t>RMPET1010</t>
  </si>
  <si>
    <t>PET Film FPE-1100 (25um Base Film)</t>
  </si>
  <si>
    <t>SM</t>
  </si>
  <si>
    <t>RMCVR2010</t>
  </si>
  <si>
    <t>Front Graphic Overlay Hardcoat Film</t>
  </si>
  <si>
    <t>RMADH3010</t>
  </si>
  <si>
    <t>High-Tack Acrylic Spacer Tape 3M</t>
  </si>
  <si>
    <t>RMPCK4010</t>
  </si>
  <si>
    <t>Conductive Anti-Static Shield Bag</t>
  </si>
  <si>
    <t>RMPCK4020</t>
  </si>
  <si>
    <t>Silica Gel Desiccant 5g Pack</t>
  </si>
  <si>
    <t>RMPCK4030</t>
  </si>
  <si>
    <t>Export Corrugated Shipping Carton</t>
  </si>
  <si>
    <t>RMMBA1050</t>
  </si>
  <si>
    <t>Terminal Pin Connector Clip (Ag Plated)</t>
  </si>
  <si>
    <t>BOM COST CALCULATION &amp; VARIANCE (THB / Unit)</t>
  </si>
  <si>
    <t>Base Cost (THB)</t>
  </si>
  <si>
    <t>Active Cost (THB)</t>
  </si>
  <si>
    <t>Price Var (THB)</t>
  </si>
  <si>
    <t>Loss Var (THB)</t>
  </si>
  <si>
    <t>Total Mat Var (Δ THB)</t>
  </si>
  <si>
    <t>Total</t>
  </si>
  <si>
    <t/>
  </si>
  <si>
    <t>CONVERSION PROCESS COST BREAKDOWN (ROUTING)</t>
  </si>
  <si>
    <t>ROUTING PROCESS INPUT</t>
  </si>
  <si>
    <t>Sequence</t>
  </si>
  <si>
    <t>Section / Department</t>
  </si>
  <si>
    <t>Process Name</t>
  </si>
  <si>
    <t>Work Center</t>
  </si>
  <si>
    <t>MHr</t>
  </si>
  <si>
    <t>Base Cap (Unit/hr)</t>
  </si>
  <si>
    <t>Active Cap (Unit/hr)</t>
  </si>
  <si>
    <t>Base Yield (%)</t>
  </si>
  <si>
    <t>Active Yield (%)</t>
  </si>
  <si>
    <t>1. PRINTING Line</t>
  </si>
  <si>
    <t>Cutting</t>
  </si>
  <si>
    <t>Cost declare Row 28</t>
  </si>
  <si>
    <t>Annealing</t>
  </si>
  <si>
    <t>Cost declare Row 29</t>
  </si>
  <si>
    <t>Re-anneal#1</t>
  </si>
  <si>
    <t>Cost declare Row 30</t>
  </si>
  <si>
    <t>Cleaning M/C(Back side)</t>
  </si>
  <si>
    <t>Cost declare Row 31</t>
  </si>
  <si>
    <t>Printing-BAg</t>
  </si>
  <si>
    <t>Cost declare Row 32</t>
  </si>
  <si>
    <t>Cost declare Row 33</t>
  </si>
  <si>
    <t>Printing-BC</t>
  </si>
  <si>
    <t>Cost declare Row 34</t>
  </si>
  <si>
    <t>Cost declare Row 35</t>
  </si>
  <si>
    <t>Printing-BUR1</t>
  </si>
  <si>
    <t>Cost declare Row 36</t>
  </si>
  <si>
    <t>Cost declare Row 37</t>
  </si>
  <si>
    <t>Printing-BUR2</t>
  </si>
  <si>
    <t>Cost declare Row 38</t>
  </si>
  <si>
    <t>Cost declare Row 39</t>
  </si>
  <si>
    <t>Re-anneal#2</t>
  </si>
  <si>
    <t>Cost declare Row 40</t>
  </si>
  <si>
    <t>Cost declare Row 41</t>
  </si>
  <si>
    <t>Printing-BAg.J</t>
  </si>
  <si>
    <t>Cost declare Row 42</t>
  </si>
  <si>
    <t>Cost declare Row 43</t>
  </si>
  <si>
    <t>Printing-BOR</t>
  </si>
  <si>
    <t>Cost declare Row 44</t>
  </si>
  <si>
    <t>Cost declare Row 45</t>
  </si>
  <si>
    <t>Re-anneal#3</t>
  </si>
  <si>
    <t>Cost declare Row 46</t>
  </si>
  <si>
    <t>Cost declare Row 47</t>
  </si>
  <si>
    <t>Laminate Carrier film</t>
  </si>
  <si>
    <t>Cost declare Row 48</t>
  </si>
  <si>
    <t>Re-anneal#4</t>
  </si>
  <si>
    <t>Cost declare Row 49</t>
  </si>
  <si>
    <t>2. Material Prep &amp; Cutting</t>
  </si>
  <si>
    <t>PET support: Cutting</t>
  </si>
  <si>
    <t>Cost declare Row 52</t>
  </si>
  <si>
    <t>Packing sheet: Cutting</t>
  </si>
  <si>
    <t>Cost declare Row 54</t>
  </si>
  <si>
    <t>Packing sheet: Half cut</t>
  </si>
  <si>
    <t>Cost declare Row 55</t>
  </si>
  <si>
    <t>Packing sheet: Blanking</t>
  </si>
  <si>
    <t>Cost declare Row 56</t>
  </si>
  <si>
    <t>Carrier Film: Cutting</t>
  </si>
  <si>
    <t>Cost declare Row 58</t>
  </si>
  <si>
    <t>3. Digital Assembly Line</t>
  </si>
  <si>
    <t>AI-Ins</t>
  </si>
  <si>
    <t>Cost declare Row 60</t>
  </si>
  <si>
    <t>P-ins</t>
  </si>
  <si>
    <t>Cost declare Row 61</t>
  </si>
  <si>
    <t>VDO-ins I</t>
  </si>
  <si>
    <t>Cost declare Row 62</t>
  </si>
  <si>
    <t>Outline Blanking</t>
  </si>
  <si>
    <t>Cost declare Row 63</t>
  </si>
  <si>
    <t>Blanking-ins</t>
  </si>
  <si>
    <t>Cost declare Row 64</t>
  </si>
  <si>
    <t>E-ins I (Insulation)</t>
  </si>
  <si>
    <t>Cost declare Row 65</t>
  </si>
  <si>
    <t>E-ins II (Capacitive)</t>
  </si>
  <si>
    <t>Cost declare Row 66</t>
  </si>
  <si>
    <t>VDO-ins II (SN code &amp; C peel off)</t>
  </si>
  <si>
    <t>Cost declare Row 67</t>
  </si>
  <si>
    <t>V-Ins</t>
  </si>
  <si>
    <t>Cost declare Row 68</t>
  </si>
  <si>
    <t>4. Supporting Line</t>
  </si>
  <si>
    <t>Support (Film puncher)</t>
  </si>
  <si>
    <t>Cost declare Row 72</t>
  </si>
  <si>
    <t>Support (Half cut)</t>
  </si>
  <si>
    <t>Cost declare Row 73</t>
  </si>
  <si>
    <t>5. QA &amp; Packing Line</t>
  </si>
  <si>
    <t>QA &amp; Packing (VDO-Ins 1/2, QA Ins, Packing carton, Leader)</t>
  </si>
  <si>
    <t>Cost declare Rows 74-79</t>
  </si>
  <si>
    <t>CONVERSION COST CALCULATION &amp; VARIANCE (THB / Unit)</t>
  </si>
  <si>
    <t>Base Runtime (MHr)</t>
  </si>
  <si>
    <t>Active Runtime (MHr)</t>
  </si>
  <si>
    <t>Δ Runtime (MHr)</t>
  </si>
  <si>
    <t>Base Labor (THB)</t>
  </si>
  <si>
    <t>Active Labor (THB)</t>
  </si>
  <si>
    <t>Δ Labor (THB)</t>
  </si>
  <si>
    <t>Base Burden (THB)</t>
  </si>
  <si>
    <t>Active Burden (THB)</t>
  </si>
  <si>
    <t>Δ Burden (THB)</t>
  </si>
  <si>
    <t>Base Process Cost (THB)</t>
  </si>
  <si>
    <t>Active Process Cost (THB)</t>
  </si>
  <si>
    <t>Total Process Δ (THB)</t>
  </si>
  <si>
    <t>Total Processing Cost</t>
  </si>
  <si>
    <t>ID</t>
  </si>
  <si>
    <t>Stream</t>
  </si>
  <si>
    <t>Category</t>
  </si>
  <si>
    <t>Driver Name</t>
  </si>
  <si>
    <t>RCA Parameter</t>
  </si>
  <si>
    <t>Base Parameter</t>
  </si>
  <si>
    <t>Active Parameter</t>
  </si>
  <si>
    <t>Cost Gap (THB)</t>
  </si>
  <si>
    <t>Score</t>
  </si>
  <si>
    <t>Material</t>
  </si>
  <si>
    <t>Process</t>
  </si>
  <si>
    <t>COST SUMMARY &amp; VARIANCE COMPARISON</t>
  </si>
  <si>
    <t>REFERENCE STANDARD VS CURRENT STANDARD (THB / Unit)</t>
  </si>
  <si>
    <t>Cost Element</t>
  </si>
  <si>
    <t>Baseline Ref Std (THB)</t>
  </si>
  <si>
    <t>Active Current Std (THB)</t>
  </si>
  <si>
    <t>Variance (Δ THB)</t>
  </si>
  <si>
    <t>% Variance</t>
  </si>
  <si>
    <t>Level Reference</t>
  </si>
  <si>
    <t>Level 1</t>
  </si>
  <si>
    <t>Labor</t>
  </si>
  <si>
    <t>Burden</t>
  </si>
  <si>
    <t>Std Total</t>
  </si>
  <si>
    <t>Level 0</t>
  </si>
  <si>
    <t>TOP COST DRIVERS (LEVEL 2 ➔ LEVEL 3 ➔ LEVEL 4 RCA)</t>
  </si>
  <si>
    <t>Rank</t>
  </si>
  <si>
    <t>Level 2 Category</t>
  </si>
  <si>
    <t>Level 3 Cost Driver (Item / Station)</t>
  </si>
  <si>
    <t>Level 4 RCA Parameter Changed</t>
  </si>
  <si>
    <t>Cost Gap (THB/Unit)</t>
  </si>
  <si>
    <t>% Contribution</t>
  </si>
  <si>
    <t>Controllability</t>
  </si>
  <si>
    <t>Remark</t>
  </si>
  <si>
    <t>#1</t>
  </si>
  <si>
    <t>Customer Approved Drawing Spec</t>
  </si>
  <si>
    <t>#2</t>
  </si>
  <si>
    <t>#3</t>
  </si>
  <si>
    <t>#4</t>
  </si>
  <si>
    <t>#5</t>
  </si>
  <si>
    <t>#6</t>
  </si>
  <si>
    <t>#7</t>
  </si>
  <si>
    <t>#8</t>
  </si>
  <si>
    <t>#9</t>
  </si>
  <si>
    <t>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</si>
</sst>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"/>
    <numFmt numFmtId="166" formatCode="0.0"/>
    <numFmt numFmtId="167" formatCode="0.000000"/>
  </numFmts>
  <fonts count="6" x14ac:knownFonts="1">
    <font>
      <sz val="11"/>
      <color theme="1"/>
      <name val="Calibri"/>
      <family val="2"/>
      <scheme val="minor"/>
    </font>
    <font>
      <b/>
      <sz val="12"/>
      <color rgb="FF0F172A"/>
      <name val="Calibri"/>
    </font>
    <font>
      <b/>
      <sz val="10"/>
      <color rgb="FF0F172A"/>
      <name val="Calibri"/>
    </font>
    <font>
      <b/>
      <sz val="9.5"/>
      <color rgb="FFFFFFFF"/>
      <name val="Calibri"/>
    </font>
    <font>
      <sz val="9.5"/>
      <name val="Calibri"/>
    </font>
    <font>
      <b/>
      <sz val="9.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9C3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172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sqref="A1:F1"/>
    </sheetView>
  </sheetViews>
  <sheetFormatPr defaultRowHeight="15" x14ac:dyDescent="0.25"/>
  <cols>
    <col min="1" max="1" width="20" customWidth="1"/>
    <col min="2" max="2" width="34" customWidth="1"/>
    <col min="3" max="4" width="24" customWidth="1"/>
    <col min="5" max="5" width="18" customWidth="1"/>
    <col min="6" max="6" width="30" customWidth="1"/>
  </cols>
  <sheetData>
    <row r="1" spans="1:6" ht="15.75" x14ac:dyDescent="0.25">
      <c r="A1" s="18" t="s">
        <v>0</v>
      </c>
      <c r="B1" s="18"/>
      <c r="C1" s="18"/>
      <c r="D1" s="18"/>
      <c r="E1" s="18"/>
      <c r="F1" s="18"/>
    </row>
    <row r="3" spans="1:6" x14ac:dyDescent="0.25">
      <c r="A3" s="19" t="s">
        <v>1</v>
      </c>
      <c r="B3" s="19"/>
      <c r="C3" s="19"/>
      <c r="D3" s="19"/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6" x14ac:dyDescent="0.25">
      <c r="A5" s="2" t="s">
        <v>6</v>
      </c>
      <c r="B5" s="2" t="s">
        <v>7</v>
      </c>
      <c r="C5" s="2" t="s">
        <v>8</v>
      </c>
      <c r="D5" s="2" t="s">
        <v>9</v>
      </c>
    </row>
    <row r="7" spans="1:6" x14ac:dyDescent="0.25">
      <c r="A7" s="19" t="s">
        <v>10</v>
      </c>
      <c r="B7" s="19"/>
      <c r="C7" s="19"/>
      <c r="D7" s="19"/>
      <c r="E7" s="19"/>
      <c r="F7" s="19"/>
    </row>
    <row r="8" spans="1:6" x14ac:dyDescent="0.25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5</v>
      </c>
    </row>
    <row r="9" spans="1:6" x14ac:dyDescent="0.25">
      <c r="A9" s="2" t="s">
        <v>16</v>
      </c>
      <c r="B9" s="2" t="s">
        <v>17</v>
      </c>
      <c r="C9" s="3">
        <v>105.29</v>
      </c>
      <c r="D9" s="3">
        <v>138.47999999999999</v>
      </c>
      <c r="E9" s="2" t="s">
        <v>18</v>
      </c>
      <c r="F9" s="2" t="s">
        <v>19</v>
      </c>
    </row>
    <row r="10" spans="1:6" x14ac:dyDescent="0.25">
      <c r="A10" s="2" t="s">
        <v>20</v>
      </c>
      <c r="B10" s="2" t="s">
        <v>21</v>
      </c>
      <c r="C10" s="3">
        <v>105.29</v>
      </c>
      <c r="D10" s="3">
        <v>97.69</v>
      </c>
      <c r="E10" s="2" t="s">
        <v>18</v>
      </c>
      <c r="F10" s="2" t="s">
        <v>22</v>
      </c>
    </row>
    <row r="11" spans="1:6" x14ac:dyDescent="0.25">
      <c r="A11" s="2" t="s">
        <v>23</v>
      </c>
      <c r="B11" s="2" t="s">
        <v>24</v>
      </c>
      <c r="C11" s="3">
        <v>105.29</v>
      </c>
      <c r="D11" s="3">
        <v>90.93</v>
      </c>
      <c r="E11" s="2" t="s">
        <v>18</v>
      </c>
      <c r="F11" s="2" t="s">
        <v>25</v>
      </c>
    </row>
    <row r="12" spans="1:6" x14ac:dyDescent="0.25">
      <c r="A12" s="2" t="s">
        <v>26</v>
      </c>
      <c r="B12" s="2" t="s">
        <v>27</v>
      </c>
      <c r="C12" s="3">
        <v>105.29</v>
      </c>
      <c r="D12" s="3">
        <v>82.74</v>
      </c>
      <c r="E12" s="2" t="s">
        <v>18</v>
      </c>
      <c r="F12" s="2" t="s">
        <v>28</v>
      </c>
    </row>
  </sheetData>
  <mergeCells count="3">
    <mergeCell ref="A1:F1"/>
    <mergeCell ref="A3:D3"/>
    <mergeCell ref="A7:F7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/>
  </sheetViews>
  <sheetFormatPr defaultRowHeight="15" x14ac:dyDescent="0.25"/>
  <cols>
    <col min="1" max="1" width="10" customWidth="1"/>
    <col min="2" max="2" width="18" customWidth="1"/>
    <col min="3" max="3" width="42" customWidth="1"/>
    <col min="4" max="5" width="18" customWidth="1"/>
    <col min="6" max="8" width="24" customWidth="1"/>
    <col min="9" max="9" width="16" customWidth="1"/>
    <col min="10" max="10" width="26" customWidth="1"/>
  </cols>
  <sheetData>
    <row r="1" spans="1:10" ht="15.75" x14ac:dyDescent="0.25">
      <c r="A1" s="18" t="s">
        <v>29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x14ac:dyDescent="0.25">
      <c r="A3" s="19" t="s">
        <v>30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25">
      <c r="A4" s="1" t="s">
        <v>31</v>
      </c>
      <c r="B4" s="1" t="s">
        <v>32</v>
      </c>
      <c r="C4" s="1" t="s">
        <v>33</v>
      </c>
      <c r="D4" s="1" t="s">
        <v>34</v>
      </c>
      <c r="E4" s="1" t="s">
        <v>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5</v>
      </c>
    </row>
    <row r="5" spans="1:10" x14ac:dyDescent="0.25">
      <c r="A5" s="2">
        <v>1</v>
      </c>
      <c r="B5" s="2" t="s">
        <v>39</v>
      </c>
      <c r="C5" s="2" t="s">
        <v>40</v>
      </c>
      <c r="D5" s="4">
        <v>3.5000000000000001E-3</v>
      </c>
      <c r="E5" s="2" t="s">
        <v>41</v>
      </c>
      <c r="F5" s="3">
        <v>150</v>
      </c>
      <c r="G5" s="3">
        <v>545.6</v>
      </c>
      <c r="H5" s="5">
        <v>0.3</v>
      </c>
      <c r="I5" s="5">
        <v>0.3</v>
      </c>
      <c r="J5" s="2" t="s">
        <v>9</v>
      </c>
    </row>
    <row r="6" spans="1:10" x14ac:dyDescent="0.25">
      <c r="A6" s="2">
        <v>2</v>
      </c>
      <c r="B6" s="2" t="s">
        <v>42</v>
      </c>
      <c r="C6" s="2" t="s">
        <v>43</v>
      </c>
      <c r="D6" s="4">
        <v>2E-3</v>
      </c>
      <c r="E6" s="2" t="s">
        <v>41</v>
      </c>
      <c r="F6" s="3">
        <v>85</v>
      </c>
      <c r="G6" s="3">
        <v>85</v>
      </c>
      <c r="H6" s="5">
        <v>0.3</v>
      </c>
      <c r="I6" s="5">
        <v>0.3</v>
      </c>
      <c r="J6" s="2" t="s">
        <v>9</v>
      </c>
    </row>
    <row r="7" spans="1:10" x14ac:dyDescent="0.25">
      <c r="A7" s="2">
        <v>3</v>
      </c>
      <c r="B7" s="2" t="s">
        <v>44</v>
      </c>
      <c r="C7" s="2" t="s">
        <v>45</v>
      </c>
      <c r="D7" s="4">
        <v>5.0000000000000001E-3</v>
      </c>
      <c r="E7" s="2" t="s">
        <v>41</v>
      </c>
      <c r="F7" s="3">
        <v>45</v>
      </c>
      <c r="G7" s="3">
        <v>45</v>
      </c>
      <c r="H7" s="5">
        <v>0.3</v>
      </c>
      <c r="I7" s="5">
        <v>0.3</v>
      </c>
      <c r="J7" s="2" t="s">
        <v>9</v>
      </c>
    </row>
    <row r="8" spans="1:10" x14ac:dyDescent="0.25">
      <c r="A8" s="2">
        <v>4</v>
      </c>
      <c r="B8" s="2" t="s">
        <v>46</v>
      </c>
      <c r="C8" s="2" t="s">
        <v>47</v>
      </c>
      <c r="D8" s="4">
        <v>1.2500000000000001E-2</v>
      </c>
      <c r="E8" s="2" t="s">
        <v>48</v>
      </c>
      <c r="F8" s="3">
        <v>380</v>
      </c>
      <c r="G8" s="3">
        <v>380</v>
      </c>
      <c r="H8" s="5">
        <v>0.15</v>
      </c>
      <c r="I8" s="5">
        <v>0.15</v>
      </c>
      <c r="J8" s="2" t="s">
        <v>9</v>
      </c>
    </row>
    <row r="9" spans="1:10" x14ac:dyDescent="0.25">
      <c r="A9" s="2">
        <v>5</v>
      </c>
      <c r="B9" s="2" t="s">
        <v>49</v>
      </c>
      <c r="C9" s="2" t="s">
        <v>50</v>
      </c>
      <c r="D9" s="4">
        <v>1.2500000000000001E-2</v>
      </c>
      <c r="E9" s="2" t="s">
        <v>48</v>
      </c>
      <c r="F9" s="3">
        <v>420</v>
      </c>
      <c r="G9" s="3">
        <v>420</v>
      </c>
      <c r="H9" s="5">
        <v>0.15</v>
      </c>
      <c r="I9" s="5">
        <v>0.15</v>
      </c>
      <c r="J9" s="2" t="s">
        <v>9</v>
      </c>
    </row>
    <row r="10" spans="1:10" x14ac:dyDescent="0.25">
      <c r="A10" s="2">
        <v>6</v>
      </c>
      <c r="B10" s="2" t="s">
        <v>51</v>
      </c>
      <c r="C10" s="2" t="s">
        <v>52</v>
      </c>
      <c r="D10" s="4">
        <v>1.2500000000000001E-2</v>
      </c>
      <c r="E10" s="2" t="s">
        <v>48</v>
      </c>
      <c r="F10" s="3">
        <v>280</v>
      </c>
      <c r="G10" s="3">
        <v>280</v>
      </c>
      <c r="H10" s="5">
        <v>0.15</v>
      </c>
      <c r="I10" s="5">
        <v>0.15</v>
      </c>
      <c r="J10" s="2" t="s">
        <v>9</v>
      </c>
    </row>
    <row r="11" spans="1:10" x14ac:dyDescent="0.25">
      <c r="A11" s="2">
        <v>7</v>
      </c>
      <c r="B11" s="2" t="s">
        <v>53</v>
      </c>
      <c r="C11" s="2" t="s">
        <v>54</v>
      </c>
      <c r="D11" s="4">
        <v>1</v>
      </c>
      <c r="E11" s="2" t="s">
        <v>8</v>
      </c>
      <c r="F11" s="3">
        <v>0.85</v>
      </c>
      <c r="G11" s="3">
        <v>0.85</v>
      </c>
      <c r="H11" s="5">
        <v>0.05</v>
      </c>
      <c r="I11" s="5">
        <v>0.05</v>
      </c>
      <c r="J11" s="2" t="s">
        <v>9</v>
      </c>
    </row>
    <row r="12" spans="1:10" x14ac:dyDescent="0.25">
      <c r="A12" s="2">
        <v>8</v>
      </c>
      <c r="B12" s="2" t="s">
        <v>55</v>
      </c>
      <c r="C12" s="2" t="s">
        <v>56</v>
      </c>
      <c r="D12" s="4">
        <v>1</v>
      </c>
      <c r="E12" s="2" t="s">
        <v>8</v>
      </c>
      <c r="F12" s="3">
        <v>0.35</v>
      </c>
      <c r="G12" s="3">
        <v>0.35</v>
      </c>
      <c r="H12" s="5">
        <v>0.02</v>
      </c>
      <c r="I12" s="5">
        <v>0.02</v>
      </c>
      <c r="J12" s="2" t="s">
        <v>9</v>
      </c>
    </row>
    <row r="13" spans="1:10" x14ac:dyDescent="0.25">
      <c r="A13" s="2">
        <v>9</v>
      </c>
      <c r="B13" s="2" t="s">
        <v>57</v>
      </c>
      <c r="C13" s="2" t="s">
        <v>58</v>
      </c>
      <c r="D13" s="4">
        <v>0.01</v>
      </c>
      <c r="E13" s="2" t="s">
        <v>8</v>
      </c>
      <c r="F13" s="3">
        <v>42</v>
      </c>
      <c r="G13" s="3">
        <v>42</v>
      </c>
      <c r="H13" s="5">
        <v>0</v>
      </c>
      <c r="I13" s="5">
        <v>0</v>
      </c>
      <c r="J13" s="2" t="s">
        <v>9</v>
      </c>
    </row>
    <row r="14" spans="1:10" x14ac:dyDescent="0.25">
      <c r="A14" s="2">
        <v>10</v>
      </c>
      <c r="B14" s="2" t="s">
        <v>59</v>
      </c>
      <c r="C14" s="2" t="s">
        <v>60</v>
      </c>
      <c r="D14" s="4">
        <v>4</v>
      </c>
      <c r="E14" s="2" t="s">
        <v>8</v>
      </c>
      <c r="F14" s="3">
        <v>0.12</v>
      </c>
      <c r="G14" s="3">
        <v>0.12</v>
      </c>
      <c r="H14" s="5">
        <v>0.01</v>
      </c>
      <c r="I14" s="5">
        <v>0.01</v>
      </c>
      <c r="J14" s="2" t="s">
        <v>9</v>
      </c>
    </row>
    <row r="16" spans="1:10" x14ac:dyDescent="0.25">
      <c r="A16" s="19" t="s">
        <v>61</v>
      </c>
      <c r="B16" s="19"/>
      <c r="C16" s="19"/>
      <c r="D16" s="19"/>
      <c r="E16" s="19"/>
      <c r="F16" s="19"/>
      <c r="G16" s="19"/>
      <c r="H16" s="19"/>
    </row>
    <row r="17" spans="1:8" x14ac:dyDescent="0.25">
      <c r="A17" s="1" t="s">
        <v>31</v>
      </c>
      <c r="B17" s="1" t="s">
        <v>32</v>
      </c>
      <c r="C17" s="1" t="s">
        <v>33</v>
      </c>
      <c r="D17" s="1" t="s">
        <v>62</v>
      </c>
      <c r="E17" s="1" t="s">
        <v>63</v>
      </c>
      <c r="F17" s="1" t="s">
        <v>64</v>
      </c>
      <c r="G17" s="1" t="s">
        <v>65</v>
      </c>
      <c r="H17" s="1" t="s">
        <v>66</v>
      </c>
    </row>
    <row r="18" spans="1:8" x14ac:dyDescent="0.25">
      <c r="A18" s="6">
        <f t="shared" ref="A18:C27" si="0">IFERROR(IF(A5="","",A5),"")</f>
        <v>1</v>
      </c>
      <c r="B18" s="6" t="str">
        <f t="shared" si="0"/>
        <v>RMMBA1020</v>
      </c>
      <c r="C18" s="6" t="str">
        <f t="shared" si="0"/>
        <v>DOTITE XA-3645 Conductive Silver Paste Ink</v>
      </c>
      <c r="D18" s="7">
        <f t="shared" ref="D18:D27" si="1">IFERROR(IF(OR(C5="", D5="", F5=""), "", D5*F5*(1+IF(H5="",0,H5))), "")</f>
        <v>0.68250000000000011</v>
      </c>
      <c r="E18" s="7">
        <f t="shared" ref="E18:E27" si="2">IFERROR(IF(OR(C5="", D5="", G5=""), "", D5*G5*(1+IF(I5="",0,I5))), "")</f>
        <v>2.4824800000000002</v>
      </c>
      <c r="F18" s="7">
        <f t="shared" ref="F18:F27" si="3">IFERROR(IF(OR(C5="", D5="", F5="", G5=""), "", (G5-F5)*D5*(1+IF(I5="",0,I5))), "")</f>
        <v>1.7999800000000001</v>
      </c>
      <c r="G18" s="7">
        <f t="shared" ref="G18:G27" si="4">IFERROR(IF(OR(C5="", D5="", F5=""), "", (IF(I5="",0,I5)-IF(H5="",0,H5))*D5*F5), "")</f>
        <v>0</v>
      </c>
      <c r="H18" s="7">
        <f t="shared" ref="H18:H27" si="5">IFERROR(IF(OR(C5="", D18="", E18=""), "", E18-D18), "")</f>
        <v>1.7999800000000001</v>
      </c>
    </row>
    <row r="19" spans="1:8" x14ac:dyDescent="0.25">
      <c r="A19" s="6">
        <f t="shared" si="0"/>
        <v>2</v>
      </c>
      <c r="B19" s="6" t="str">
        <f t="shared" si="0"/>
        <v>RMMBA1030</v>
      </c>
      <c r="C19" s="6" t="str">
        <f t="shared" si="0"/>
        <v>FEC-4023 Carbon Resistive Paste Ink</v>
      </c>
      <c r="D19" s="7">
        <f t="shared" si="1"/>
        <v>0.22100000000000003</v>
      </c>
      <c r="E19" s="7">
        <f t="shared" si="2"/>
        <v>0.22100000000000003</v>
      </c>
      <c r="F19" s="7">
        <f t="shared" si="3"/>
        <v>0</v>
      </c>
      <c r="G19" s="7">
        <f t="shared" si="4"/>
        <v>0</v>
      </c>
      <c r="H19" s="7">
        <f t="shared" si="5"/>
        <v>0</v>
      </c>
    </row>
    <row r="20" spans="1:8" x14ac:dyDescent="0.25">
      <c r="A20" s="6">
        <f t="shared" si="0"/>
        <v>3</v>
      </c>
      <c r="B20" s="6" t="str">
        <f t="shared" si="0"/>
        <v>RMMBA1040</v>
      </c>
      <c r="C20" s="6" t="str">
        <f t="shared" si="0"/>
        <v>PTF-3201N UV Dielectric Insulating Paste</v>
      </c>
      <c r="D20" s="7">
        <f t="shared" si="1"/>
        <v>0.29250000000000004</v>
      </c>
      <c r="E20" s="7">
        <f t="shared" si="2"/>
        <v>0.29250000000000004</v>
      </c>
      <c r="F20" s="7">
        <f t="shared" si="3"/>
        <v>0</v>
      </c>
      <c r="G20" s="7">
        <f t="shared" si="4"/>
        <v>0</v>
      </c>
      <c r="H20" s="7">
        <f t="shared" si="5"/>
        <v>0</v>
      </c>
    </row>
    <row r="21" spans="1:8" x14ac:dyDescent="0.25">
      <c r="A21" s="6">
        <f t="shared" si="0"/>
        <v>4</v>
      </c>
      <c r="B21" s="6" t="str">
        <f t="shared" si="0"/>
        <v>RMPET1010</v>
      </c>
      <c r="C21" s="6" t="str">
        <f t="shared" si="0"/>
        <v>PET Film FPE-1100 (25um Base Film)</v>
      </c>
      <c r="D21" s="7">
        <f t="shared" si="1"/>
        <v>5.4624999999999995</v>
      </c>
      <c r="E21" s="7">
        <f t="shared" si="2"/>
        <v>5.4624999999999995</v>
      </c>
      <c r="F21" s="7">
        <f t="shared" si="3"/>
        <v>0</v>
      </c>
      <c r="G21" s="7">
        <f t="shared" si="4"/>
        <v>0</v>
      </c>
      <c r="H21" s="7">
        <f t="shared" si="5"/>
        <v>0</v>
      </c>
    </row>
    <row r="22" spans="1:8" x14ac:dyDescent="0.25">
      <c r="A22" s="6">
        <f t="shared" si="0"/>
        <v>5</v>
      </c>
      <c r="B22" s="6" t="str">
        <f t="shared" si="0"/>
        <v>RMCVR2010</v>
      </c>
      <c r="C22" s="6" t="str">
        <f t="shared" si="0"/>
        <v>Front Graphic Overlay Hardcoat Film</v>
      </c>
      <c r="D22" s="7">
        <f t="shared" si="1"/>
        <v>6.0374999999999996</v>
      </c>
      <c r="E22" s="7">
        <f t="shared" si="2"/>
        <v>6.0374999999999996</v>
      </c>
      <c r="F22" s="7">
        <f t="shared" si="3"/>
        <v>0</v>
      </c>
      <c r="G22" s="7">
        <f t="shared" si="4"/>
        <v>0</v>
      </c>
      <c r="H22" s="7">
        <f t="shared" si="5"/>
        <v>0</v>
      </c>
    </row>
    <row r="23" spans="1:8" x14ac:dyDescent="0.25">
      <c r="A23" s="6">
        <f t="shared" si="0"/>
        <v>6</v>
      </c>
      <c r="B23" s="6" t="str">
        <f t="shared" si="0"/>
        <v>RMADH3010</v>
      </c>
      <c r="C23" s="6" t="str">
        <f t="shared" si="0"/>
        <v>High-Tack Acrylic Spacer Tape 3M</v>
      </c>
      <c r="D23" s="7">
        <f t="shared" si="1"/>
        <v>4.0249999999999995</v>
      </c>
      <c r="E23" s="7">
        <f t="shared" si="2"/>
        <v>4.0249999999999995</v>
      </c>
      <c r="F23" s="7">
        <f t="shared" si="3"/>
        <v>0</v>
      </c>
      <c r="G23" s="7">
        <f t="shared" si="4"/>
        <v>0</v>
      </c>
      <c r="H23" s="7">
        <f t="shared" si="5"/>
        <v>0</v>
      </c>
    </row>
    <row r="24" spans="1:8" x14ac:dyDescent="0.25">
      <c r="A24" s="6">
        <f t="shared" si="0"/>
        <v>7</v>
      </c>
      <c r="B24" s="6" t="str">
        <f t="shared" si="0"/>
        <v>RMPCK4010</v>
      </c>
      <c r="C24" s="6" t="str">
        <f t="shared" si="0"/>
        <v>Conductive Anti-Static Shield Bag</v>
      </c>
      <c r="D24" s="7">
        <f t="shared" si="1"/>
        <v>0.89249999999999996</v>
      </c>
      <c r="E24" s="7">
        <f t="shared" si="2"/>
        <v>0.89249999999999996</v>
      </c>
      <c r="F24" s="7">
        <f t="shared" si="3"/>
        <v>0</v>
      </c>
      <c r="G24" s="7">
        <f t="shared" si="4"/>
        <v>0</v>
      </c>
      <c r="H24" s="7">
        <f t="shared" si="5"/>
        <v>0</v>
      </c>
    </row>
    <row r="25" spans="1:8" x14ac:dyDescent="0.25">
      <c r="A25" s="6">
        <f t="shared" si="0"/>
        <v>8</v>
      </c>
      <c r="B25" s="6" t="str">
        <f t="shared" si="0"/>
        <v>RMPCK4020</v>
      </c>
      <c r="C25" s="6" t="str">
        <f t="shared" si="0"/>
        <v>Silica Gel Desiccant 5g Pack</v>
      </c>
      <c r="D25" s="7">
        <f t="shared" si="1"/>
        <v>0.35699999999999998</v>
      </c>
      <c r="E25" s="7">
        <f t="shared" si="2"/>
        <v>0.35699999999999998</v>
      </c>
      <c r="F25" s="7">
        <f t="shared" si="3"/>
        <v>0</v>
      </c>
      <c r="G25" s="7">
        <f t="shared" si="4"/>
        <v>0</v>
      </c>
      <c r="H25" s="7">
        <f t="shared" si="5"/>
        <v>0</v>
      </c>
    </row>
    <row r="26" spans="1:8" x14ac:dyDescent="0.25">
      <c r="A26" s="6">
        <f t="shared" si="0"/>
        <v>9</v>
      </c>
      <c r="B26" s="6" t="str">
        <f t="shared" si="0"/>
        <v>RMPCK4030</v>
      </c>
      <c r="C26" s="6" t="str">
        <f t="shared" si="0"/>
        <v>Export Corrugated Shipping Carton</v>
      </c>
      <c r="D26" s="7">
        <f t="shared" si="1"/>
        <v>0.42</v>
      </c>
      <c r="E26" s="7">
        <f t="shared" si="2"/>
        <v>0.42</v>
      </c>
      <c r="F26" s="7">
        <f t="shared" si="3"/>
        <v>0</v>
      </c>
      <c r="G26" s="7">
        <f t="shared" si="4"/>
        <v>0</v>
      </c>
      <c r="H26" s="7">
        <f t="shared" si="5"/>
        <v>0</v>
      </c>
    </row>
    <row r="27" spans="1:8" x14ac:dyDescent="0.25">
      <c r="A27" s="6">
        <f t="shared" si="0"/>
        <v>10</v>
      </c>
      <c r="B27" s="6" t="str">
        <f t="shared" si="0"/>
        <v>RMMBA1050</v>
      </c>
      <c r="C27" s="6" t="str">
        <f t="shared" si="0"/>
        <v>Terminal Pin Connector Clip (Ag Plated)</v>
      </c>
      <c r="D27" s="7">
        <f t="shared" si="1"/>
        <v>0.48480000000000001</v>
      </c>
      <c r="E27" s="7">
        <f t="shared" si="2"/>
        <v>0.48480000000000001</v>
      </c>
      <c r="F27" s="7">
        <f t="shared" si="3"/>
        <v>0</v>
      </c>
      <c r="G27" s="7">
        <f t="shared" si="4"/>
        <v>0</v>
      </c>
      <c r="H27" s="7">
        <f t="shared" si="5"/>
        <v>0</v>
      </c>
    </row>
    <row r="28" spans="1:8" x14ac:dyDescent="0.25">
      <c r="A28" s="8" t="s">
        <v>67</v>
      </c>
      <c r="B28" s="8" t="s">
        <v>68</v>
      </c>
      <c r="C28" s="8" t="s">
        <v>68</v>
      </c>
      <c r="D28" s="9">
        <f>IFERROR(IF(SUM(D18:D27)=0, "", SUM(D18:D27)), "")</f>
        <v>18.875299999999999</v>
      </c>
      <c r="E28" s="9">
        <f>IFERROR(IF(SUM(E18:E27)=0, "", SUM(E18:E27)), "")</f>
        <v>20.675279999999997</v>
      </c>
      <c r="F28" s="9">
        <f>IFERROR(IF(SUM(F18:F27)=0, "", SUM(F18:F27)), "")</f>
        <v>1.7999800000000001</v>
      </c>
      <c r="G28" s="9" t="str">
        <f>IFERROR(IF(SUM(G18:G27)=0, "", SUM(G18:G27)), "")</f>
        <v/>
      </c>
      <c r="H28" s="9">
        <f>IFERROR(IF(SUM(H18:H27)=0, "", SUM(H18:H27)), "")</f>
        <v>1.7999800000000001</v>
      </c>
    </row>
  </sheetData>
  <mergeCells count="3">
    <mergeCell ref="A1:J1"/>
    <mergeCell ref="A3:J3"/>
    <mergeCell ref="A16:H16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6"/>
  <sheetViews>
    <sheetView workbookViewId="0"/>
  </sheetViews>
  <sheetFormatPr defaultRowHeight="15" x14ac:dyDescent="0.25"/>
  <cols>
    <col min="1" max="1" width="10" customWidth="1"/>
    <col min="2" max="2" width="26" customWidth="1"/>
    <col min="3" max="3" width="44" customWidth="1"/>
    <col min="4" max="4" width="16" customWidth="1"/>
    <col min="5" max="6" width="20" customWidth="1"/>
    <col min="7" max="9" width="18" customWidth="1"/>
    <col min="10" max="10" width="16" customWidth="1"/>
    <col min="11" max="12" width="18" customWidth="1"/>
    <col min="13" max="13" width="16" customWidth="1"/>
    <col min="14" max="15" width="22" customWidth="1"/>
    <col min="16" max="16" width="20" customWidth="1"/>
  </cols>
  <sheetData>
    <row r="1" spans="1:10" ht="15.75" x14ac:dyDescent="0.25">
      <c r="A1" s="18" t="s">
        <v>69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x14ac:dyDescent="0.25">
      <c r="A3" s="19" t="s">
        <v>70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25">
      <c r="A4" s="1" t="s">
        <v>71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77</v>
      </c>
      <c r="H4" s="1" t="s">
        <v>78</v>
      </c>
      <c r="I4" s="1" t="s">
        <v>79</v>
      </c>
      <c r="J4" s="1" t="s">
        <v>5</v>
      </c>
    </row>
    <row r="5" spans="1:10" x14ac:dyDescent="0.25">
      <c r="A5" s="2">
        <v>1</v>
      </c>
      <c r="B5" s="2" t="s">
        <v>80</v>
      </c>
      <c r="C5" s="2" t="s">
        <v>81</v>
      </c>
      <c r="D5" s="2" t="s">
        <v>16</v>
      </c>
      <c r="E5" s="10">
        <v>1</v>
      </c>
      <c r="F5" s="11">
        <v>6180</v>
      </c>
      <c r="G5" s="11">
        <v>6180</v>
      </c>
      <c r="H5" s="5">
        <v>1</v>
      </c>
      <c r="I5" s="5">
        <v>1</v>
      </c>
      <c r="J5" s="2" t="s">
        <v>82</v>
      </c>
    </row>
    <row r="6" spans="1:10" x14ac:dyDescent="0.25">
      <c r="A6" s="2">
        <v>2</v>
      </c>
      <c r="B6" s="2" t="s">
        <v>80</v>
      </c>
      <c r="C6" s="2" t="s">
        <v>83</v>
      </c>
      <c r="D6" s="2" t="s">
        <v>16</v>
      </c>
      <c r="E6" s="10">
        <v>1</v>
      </c>
      <c r="F6" s="11">
        <v>2520</v>
      </c>
      <c r="G6" s="11">
        <v>2520</v>
      </c>
      <c r="H6" s="5">
        <v>1</v>
      </c>
      <c r="I6" s="5">
        <v>1</v>
      </c>
      <c r="J6" s="2" t="s">
        <v>84</v>
      </c>
    </row>
    <row r="7" spans="1:10" x14ac:dyDescent="0.25">
      <c r="A7" s="2">
        <v>3</v>
      </c>
      <c r="B7" s="2" t="s">
        <v>80</v>
      </c>
      <c r="C7" s="2" t="s">
        <v>85</v>
      </c>
      <c r="D7" s="2" t="s">
        <v>20</v>
      </c>
      <c r="E7" s="10">
        <v>1</v>
      </c>
      <c r="F7" s="11">
        <v>2340</v>
      </c>
      <c r="G7" s="11">
        <v>2340</v>
      </c>
      <c r="H7" s="5">
        <v>1</v>
      </c>
      <c r="I7" s="5">
        <v>1</v>
      </c>
      <c r="J7" s="2" t="s">
        <v>86</v>
      </c>
    </row>
    <row r="8" spans="1:10" x14ac:dyDescent="0.25">
      <c r="A8" s="2">
        <v>4</v>
      </c>
      <c r="B8" s="2" t="s">
        <v>80</v>
      </c>
      <c r="C8" s="2" t="s">
        <v>87</v>
      </c>
      <c r="D8" s="2" t="s">
        <v>20</v>
      </c>
      <c r="E8" s="10">
        <v>1</v>
      </c>
      <c r="F8" s="11">
        <v>6900</v>
      </c>
      <c r="G8" s="11">
        <v>6900</v>
      </c>
      <c r="H8" s="5">
        <v>1</v>
      </c>
      <c r="I8" s="5">
        <v>1</v>
      </c>
      <c r="J8" s="2" t="s">
        <v>88</v>
      </c>
    </row>
    <row r="9" spans="1:10" x14ac:dyDescent="0.25">
      <c r="A9" s="2">
        <v>5</v>
      </c>
      <c r="B9" s="2" t="s">
        <v>80</v>
      </c>
      <c r="C9" s="2" t="s">
        <v>89</v>
      </c>
      <c r="D9" s="2" t="s">
        <v>20</v>
      </c>
      <c r="E9" s="10">
        <v>4</v>
      </c>
      <c r="F9" s="11">
        <v>1884</v>
      </c>
      <c r="G9" s="11">
        <v>1884</v>
      </c>
      <c r="H9" s="5">
        <v>1</v>
      </c>
      <c r="I9" s="5">
        <v>1</v>
      </c>
      <c r="J9" s="2" t="s">
        <v>90</v>
      </c>
    </row>
    <row r="10" spans="1:10" x14ac:dyDescent="0.25">
      <c r="A10" s="2">
        <v>6</v>
      </c>
      <c r="B10" s="2" t="s">
        <v>80</v>
      </c>
      <c r="C10" s="2" t="s">
        <v>87</v>
      </c>
      <c r="D10" s="2" t="s">
        <v>20</v>
      </c>
      <c r="E10" s="10">
        <v>1</v>
      </c>
      <c r="F10" s="11">
        <v>6900</v>
      </c>
      <c r="G10" s="11">
        <v>6900</v>
      </c>
      <c r="H10" s="5">
        <v>1</v>
      </c>
      <c r="I10" s="5">
        <v>1</v>
      </c>
      <c r="J10" s="2" t="s">
        <v>91</v>
      </c>
    </row>
    <row r="11" spans="1:10" x14ac:dyDescent="0.25">
      <c r="A11" s="2">
        <v>7</v>
      </c>
      <c r="B11" s="2" t="s">
        <v>80</v>
      </c>
      <c r="C11" s="2" t="s">
        <v>92</v>
      </c>
      <c r="D11" s="2" t="s">
        <v>20</v>
      </c>
      <c r="E11" s="10">
        <v>4</v>
      </c>
      <c r="F11" s="11">
        <v>1944</v>
      </c>
      <c r="G11" s="11">
        <v>1944</v>
      </c>
      <c r="H11" s="5">
        <v>1</v>
      </c>
      <c r="I11" s="5">
        <v>1</v>
      </c>
      <c r="J11" s="2" t="s">
        <v>93</v>
      </c>
    </row>
    <row r="12" spans="1:10" x14ac:dyDescent="0.25">
      <c r="A12" s="2">
        <v>8</v>
      </c>
      <c r="B12" s="2" t="s">
        <v>80</v>
      </c>
      <c r="C12" s="2" t="s">
        <v>87</v>
      </c>
      <c r="D12" s="2" t="s">
        <v>20</v>
      </c>
      <c r="E12" s="10">
        <v>1</v>
      </c>
      <c r="F12" s="11">
        <v>6900</v>
      </c>
      <c r="G12" s="11">
        <v>6900</v>
      </c>
      <c r="H12" s="5">
        <v>1</v>
      </c>
      <c r="I12" s="5">
        <v>1</v>
      </c>
      <c r="J12" s="2" t="s">
        <v>94</v>
      </c>
    </row>
    <row r="13" spans="1:10" x14ac:dyDescent="0.25">
      <c r="A13" s="2">
        <v>9</v>
      </c>
      <c r="B13" s="2" t="s">
        <v>80</v>
      </c>
      <c r="C13" s="2" t="s">
        <v>95</v>
      </c>
      <c r="D13" s="2" t="s">
        <v>20</v>
      </c>
      <c r="E13" s="10">
        <v>3</v>
      </c>
      <c r="F13" s="11">
        <v>1836</v>
      </c>
      <c r="G13" s="11">
        <v>1836</v>
      </c>
      <c r="H13" s="5">
        <v>1</v>
      </c>
      <c r="I13" s="5">
        <v>1</v>
      </c>
      <c r="J13" s="2" t="s">
        <v>96</v>
      </c>
    </row>
    <row r="14" spans="1:10" x14ac:dyDescent="0.25">
      <c r="A14" s="2">
        <v>10</v>
      </c>
      <c r="B14" s="2" t="s">
        <v>80</v>
      </c>
      <c r="C14" s="2" t="s">
        <v>87</v>
      </c>
      <c r="D14" s="2" t="s">
        <v>20</v>
      </c>
      <c r="E14" s="10">
        <v>1</v>
      </c>
      <c r="F14" s="11">
        <v>6900</v>
      </c>
      <c r="G14" s="11">
        <v>6900</v>
      </c>
      <c r="H14" s="5">
        <v>1</v>
      </c>
      <c r="I14" s="5">
        <v>1</v>
      </c>
      <c r="J14" s="2" t="s">
        <v>97</v>
      </c>
    </row>
    <row r="15" spans="1:10" x14ac:dyDescent="0.25">
      <c r="A15" s="2">
        <v>11</v>
      </c>
      <c r="B15" s="2" t="s">
        <v>80</v>
      </c>
      <c r="C15" s="2" t="s">
        <v>98</v>
      </c>
      <c r="D15" s="2" t="s">
        <v>20</v>
      </c>
      <c r="E15" s="10">
        <v>3</v>
      </c>
      <c r="F15" s="11">
        <v>2004</v>
      </c>
      <c r="G15" s="11">
        <v>2004</v>
      </c>
      <c r="H15" s="5">
        <v>1</v>
      </c>
      <c r="I15" s="5">
        <v>1</v>
      </c>
      <c r="J15" s="2" t="s">
        <v>99</v>
      </c>
    </row>
    <row r="16" spans="1:10" x14ac:dyDescent="0.25">
      <c r="A16" s="2">
        <v>12</v>
      </c>
      <c r="B16" s="2" t="s">
        <v>80</v>
      </c>
      <c r="C16" s="2" t="s">
        <v>87</v>
      </c>
      <c r="D16" s="2" t="s">
        <v>20</v>
      </c>
      <c r="E16" s="10">
        <v>1</v>
      </c>
      <c r="F16" s="11">
        <v>6900</v>
      </c>
      <c r="G16" s="11">
        <v>6900</v>
      </c>
      <c r="H16" s="5">
        <v>1</v>
      </c>
      <c r="I16" s="5">
        <v>1</v>
      </c>
      <c r="J16" s="2" t="s">
        <v>100</v>
      </c>
    </row>
    <row r="17" spans="1:10" x14ac:dyDescent="0.25">
      <c r="A17" s="2">
        <v>13</v>
      </c>
      <c r="B17" s="2" t="s">
        <v>80</v>
      </c>
      <c r="C17" s="2" t="s">
        <v>101</v>
      </c>
      <c r="D17" s="2" t="s">
        <v>20</v>
      </c>
      <c r="E17" s="10">
        <v>1</v>
      </c>
      <c r="F17" s="11">
        <v>3420</v>
      </c>
      <c r="G17" s="11">
        <v>3420</v>
      </c>
      <c r="H17" s="5">
        <v>1</v>
      </c>
      <c r="I17" s="5">
        <v>1</v>
      </c>
      <c r="J17" s="2" t="s">
        <v>102</v>
      </c>
    </row>
    <row r="18" spans="1:10" x14ac:dyDescent="0.25">
      <c r="A18" s="2">
        <v>14</v>
      </c>
      <c r="B18" s="2" t="s">
        <v>80</v>
      </c>
      <c r="C18" s="2" t="s">
        <v>87</v>
      </c>
      <c r="D18" s="2" t="s">
        <v>20</v>
      </c>
      <c r="E18" s="10">
        <v>1</v>
      </c>
      <c r="F18" s="11">
        <v>6900</v>
      </c>
      <c r="G18" s="11">
        <v>6900</v>
      </c>
      <c r="H18" s="5">
        <v>1</v>
      </c>
      <c r="I18" s="5">
        <v>1</v>
      </c>
      <c r="J18" s="2" t="s">
        <v>103</v>
      </c>
    </row>
    <row r="19" spans="1:10" x14ac:dyDescent="0.25">
      <c r="A19" s="2">
        <v>15</v>
      </c>
      <c r="B19" s="2" t="s">
        <v>80</v>
      </c>
      <c r="C19" s="2" t="s">
        <v>104</v>
      </c>
      <c r="D19" s="2" t="s">
        <v>20</v>
      </c>
      <c r="E19" s="10">
        <v>8</v>
      </c>
      <c r="F19" s="11">
        <v>1572</v>
      </c>
      <c r="G19" s="11">
        <v>1572</v>
      </c>
      <c r="H19" s="5">
        <v>1</v>
      </c>
      <c r="I19" s="5">
        <v>1</v>
      </c>
      <c r="J19" s="2" t="s">
        <v>105</v>
      </c>
    </row>
    <row r="20" spans="1:10" x14ac:dyDescent="0.25">
      <c r="A20" s="2">
        <v>16</v>
      </c>
      <c r="B20" s="2" t="s">
        <v>80</v>
      </c>
      <c r="C20" s="2" t="s">
        <v>87</v>
      </c>
      <c r="D20" s="2" t="s">
        <v>20</v>
      </c>
      <c r="E20" s="10">
        <v>1</v>
      </c>
      <c r="F20" s="11">
        <v>6900</v>
      </c>
      <c r="G20" s="11">
        <v>6900</v>
      </c>
      <c r="H20" s="5">
        <v>1</v>
      </c>
      <c r="I20" s="5">
        <v>1</v>
      </c>
      <c r="J20" s="2" t="s">
        <v>106</v>
      </c>
    </row>
    <row r="21" spans="1:10" x14ac:dyDescent="0.25">
      <c r="A21" s="2">
        <v>17</v>
      </c>
      <c r="B21" s="2" t="s">
        <v>80</v>
      </c>
      <c r="C21" s="2" t="s">
        <v>107</v>
      </c>
      <c r="D21" s="2" t="s">
        <v>20</v>
      </c>
      <c r="E21" s="10">
        <v>2</v>
      </c>
      <c r="F21" s="11">
        <v>2040</v>
      </c>
      <c r="G21" s="11">
        <v>2040</v>
      </c>
      <c r="H21" s="5">
        <v>1</v>
      </c>
      <c r="I21" s="5">
        <v>1</v>
      </c>
      <c r="J21" s="2" t="s">
        <v>108</v>
      </c>
    </row>
    <row r="22" spans="1:10" x14ac:dyDescent="0.25">
      <c r="A22" s="2">
        <v>18</v>
      </c>
      <c r="B22" s="2" t="s">
        <v>80</v>
      </c>
      <c r="C22" s="2" t="s">
        <v>87</v>
      </c>
      <c r="D22" s="2" t="s">
        <v>20</v>
      </c>
      <c r="E22" s="10">
        <v>1</v>
      </c>
      <c r="F22" s="11">
        <v>6900</v>
      </c>
      <c r="G22" s="11">
        <v>6900</v>
      </c>
      <c r="H22" s="5">
        <v>1</v>
      </c>
      <c r="I22" s="5">
        <v>1</v>
      </c>
      <c r="J22" s="2" t="s">
        <v>109</v>
      </c>
    </row>
    <row r="23" spans="1:10" x14ac:dyDescent="0.25">
      <c r="A23" s="2">
        <v>19</v>
      </c>
      <c r="B23" s="2" t="s">
        <v>80</v>
      </c>
      <c r="C23" s="2" t="s">
        <v>110</v>
      </c>
      <c r="D23" s="2" t="s">
        <v>20</v>
      </c>
      <c r="E23" s="10">
        <v>1</v>
      </c>
      <c r="F23" s="11">
        <v>3420</v>
      </c>
      <c r="G23" s="11">
        <v>3420</v>
      </c>
      <c r="H23" s="5">
        <v>1</v>
      </c>
      <c r="I23" s="5">
        <v>1</v>
      </c>
      <c r="J23" s="2" t="s">
        <v>111</v>
      </c>
    </row>
    <row r="24" spans="1:10" x14ac:dyDescent="0.25">
      <c r="A24" s="2">
        <v>20</v>
      </c>
      <c r="B24" s="2" t="s">
        <v>80</v>
      </c>
      <c r="C24" s="2" t="s">
        <v>87</v>
      </c>
      <c r="D24" s="2" t="s">
        <v>20</v>
      </c>
      <c r="E24" s="10">
        <v>1</v>
      </c>
      <c r="F24" s="11">
        <v>6900</v>
      </c>
      <c r="G24" s="11">
        <v>6900</v>
      </c>
      <c r="H24" s="5">
        <v>1</v>
      </c>
      <c r="I24" s="5">
        <v>1</v>
      </c>
      <c r="J24" s="2" t="s">
        <v>112</v>
      </c>
    </row>
    <row r="25" spans="1:10" x14ac:dyDescent="0.25">
      <c r="A25" s="2">
        <v>21</v>
      </c>
      <c r="B25" s="2" t="s">
        <v>80</v>
      </c>
      <c r="C25" s="2" t="s">
        <v>113</v>
      </c>
      <c r="D25" s="2" t="s">
        <v>20</v>
      </c>
      <c r="E25" s="10">
        <v>8</v>
      </c>
      <c r="F25" s="11">
        <v>2640</v>
      </c>
      <c r="G25" s="11">
        <v>2640</v>
      </c>
      <c r="H25" s="5">
        <v>1</v>
      </c>
      <c r="I25" s="5">
        <v>1</v>
      </c>
      <c r="J25" s="2" t="s">
        <v>114</v>
      </c>
    </row>
    <row r="26" spans="1:10" x14ac:dyDescent="0.25">
      <c r="A26" s="2">
        <v>22</v>
      </c>
      <c r="B26" s="2" t="s">
        <v>80</v>
      </c>
      <c r="C26" s="2" t="s">
        <v>115</v>
      </c>
      <c r="D26" s="2" t="s">
        <v>20</v>
      </c>
      <c r="E26" s="10">
        <v>1</v>
      </c>
      <c r="F26" s="11">
        <v>5040</v>
      </c>
      <c r="G26" s="11">
        <v>5040</v>
      </c>
      <c r="H26" s="5">
        <v>1</v>
      </c>
      <c r="I26" s="5">
        <v>1</v>
      </c>
      <c r="J26" s="2" t="s">
        <v>116</v>
      </c>
    </row>
    <row r="27" spans="1:10" x14ac:dyDescent="0.25">
      <c r="A27" s="2">
        <v>23</v>
      </c>
      <c r="B27" s="2" t="s">
        <v>117</v>
      </c>
      <c r="C27" s="2" t="s">
        <v>118</v>
      </c>
      <c r="D27" s="2" t="s">
        <v>16</v>
      </c>
      <c r="E27" s="10">
        <v>1</v>
      </c>
      <c r="F27" s="11">
        <v>14400</v>
      </c>
      <c r="G27" s="11">
        <v>14400</v>
      </c>
      <c r="H27" s="5">
        <v>1</v>
      </c>
      <c r="I27" s="5">
        <v>1</v>
      </c>
      <c r="J27" s="2" t="s">
        <v>119</v>
      </c>
    </row>
    <row r="28" spans="1:10" x14ac:dyDescent="0.25">
      <c r="A28" s="2">
        <v>24</v>
      </c>
      <c r="B28" s="2" t="s">
        <v>117</v>
      </c>
      <c r="C28" s="2" t="s">
        <v>120</v>
      </c>
      <c r="D28" s="2" t="s">
        <v>16</v>
      </c>
      <c r="E28" s="10">
        <v>1</v>
      </c>
      <c r="F28" s="11">
        <v>11200</v>
      </c>
      <c r="G28" s="11">
        <v>11200</v>
      </c>
      <c r="H28" s="5">
        <v>1</v>
      </c>
      <c r="I28" s="5">
        <v>1</v>
      </c>
      <c r="J28" s="2" t="s">
        <v>121</v>
      </c>
    </row>
    <row r="29" spans="1:10" x14ac:dyDescent="0.25">
      <c r="A29" s="2">
        <v>25</v>
      </c>
      <c r="B29" s="2" t="s">
        <v>117</v>
      </c>
      <c r="C29" s="2" t="s">
        <v>122</v>
      </c>
      <c r="D29" s="2" t="s">
        <v>23</v>
      </c>
      <c r="E29" s="10">
        <v>0.5</v>
      </c>
      <c r="F29" s="11">
        <v>4800</v>
      </c>
      <c r="G29" s="11">
        <v>4800</v>
      </c>
      <c r="H29" s="5">
        <v>1</v>
      </c>
      <c r="I29" s="5">
        <v>1</v>
      </c>
      <c r="J29" s="2" t="s">
        <v>123</v>
      </c>
    </row>
    <row r="30" spans="1:10" x14ac:dyDescent="0.25">
      <c r="A30" s="2">
        <v>26</v>
      </c>
      <c r="B30" s="2" t="s">
        <v>117</v>
      </c>
      <c r="C30" s="2" t="s">
        <v>124</v>
      </c>
      <c r="D30" s="2" t="s">
        <v>23</v>
      </c>
      <c r="E30" s="10">
        <v>1</v>
      </c>
      <c r="F30" s="11">
        <v>1894</v>
      </c>
      <c r="G30" s="11">
        <v>1894</v>
      </c>
      <c r="H30" s="5">
        <v>1</v>
      </c>
      <c r="I30" s="5">
        <v>1</v>
      </c>
      <c r="J30" s="2" t="s">
        <v>125</v>
      </c>
    </row>
    <row r="31" spans="1:10" x14ac:dyDescent="0.25">
      <c r="A31" s="2">
        <v>27</v>
      </c>
      <c r="B31" s="2" t="s">
        <v>117</v>
      </c>
      <c r="C31" s="2" t="s">
        <v>126</v>
      </c>
      <c r="D31" s="2" t="s">
        <v>16</v>
      </c>
      <c r="E31" s="10">
        <v>1</v>
      </c>
      <c r="F31" s="11">
        <v>8400</v>
      </c>
      <c r="G31" s="11">
        <v>8400</v>
      </c>
      <c r="H31" s="5">
        <v>6.4505999999999994E-2</v>
      </c>
      <c r="I31" s="5">
        <v>6.4505999999999994E-2</v>
      </c>
      <c r="J31" s="2" t="s">
        <v>127</v>
      </c>
    </row>
    <row r="32" spans="1:10" x14ac:dyDescent="0.25">
      <c r="A32" s="2">
        <v>28</v>
      </c>
      <c r="B32" s="2" t="s">
        <v>128</v>
      </c>
      <c r="C32" s="2" t="s">
        <v>129</v>
      </c>
      <c r="D32" s="2" t="s">
        <v>23</v>
      </c>
      <c r="E32" s="10">
        <v>4</v>
      </c>
      <c r="F32" s="11">
        <v>600</v>
      </c>
      <c r="G32" s="11">
        <v>600</v>
      </c>
      <c r="H32" s="5">
        <v>1</v>
      </c>
      <c r="I32" s="5">
        <v>0.74</v>
      </c>
      <c r="J32" s="2" t="s">
        <v>130</v>
      </c>
    </row>
    <row r="33" spans="1:16" x14ac:dyDescent="0.25">
      <c r="A33" s="2">
        <v>29</v>
      </c>
      <c r="B33" s="2" t="s">
        <v>128</v>
      </c>
      <c r="C33" s="2" t="s">
        <v>131</v>
      </c>
      <c r="D33" s="2" t="s">
        <v>23</v>
      </c>
      <c r="E33" s="10">
        <v>2</v>
      </c>
      <c r="F33" s="11">
        <v>600</v>
      </c>
      <c r="G33" s="11">
        <v>600</v>
      </c>
      <c r="H33" s="5">
        <v>1</v>
      </c>
      <c r="I33" s="5">
        <v>0.84</v>
      </c>
      <c r="J33" s="2" t="s">
        <v>132</v>
      </c>
    </row>
    <row r="34" spans="1:16" x14ac:dyDescent="0.25">
      <c r="A34" s="2">
        <v>30</v>
      </c>
      <c r="B34" s="2" t="s">
        <v>128</v>
      </c>
      <c r="C34" s="2" t="s">
        <v>133</v>
      </c>
      <c r="D34" s="2" t="s">
        <v>23</v>
      </c>
      <c r="E34" s="10">
        <v>4</v>
      </c>
      <c r="F34" s="11">
        <v>600</v>
      </c>
      <c r="G34" s="11">
        <v>600</v>
      </c>
      <c r="H34" s="5">
        <v>1</v>
      </c>
      <c r="I34" s="5">
        <v>0.84</v>
      </c>
      <c r="J34" s="2" t="s">
        <v>134</v>
      </c>
    </row>
    <row r="35" spans="1:16" x14ac:dyDescent="0.25">
      <c r="A35" s="2">
        <v>31</v>
      </c>
      <c r="B35" s="2" t="s">
        <v>128</v>
      </c>
      <c r="C35" s="2" t="s">
        <v>135</v>
      </c>
      <c r="D35" s="2" t="s">
        <v>23</v>
      </c>
      <c r="E35" s="10">
        <v>1</v>
      </c>
      <c r="F35" s="11">
        <v>600</v>
      </c>
      <c r="G35" s="11">
        <v>600</v>
      </c>
      <c r="H35" s="5">
        <v>1</v>
      </c>
      <c r="I35" s="5">
        <v>0.84</v>
      </c>
      <c r="J35" s="2" t="s">
        <v>136</v>
      </c>
    </row>
    <row r="36" spans="1:16" x14ac:dyDescent="0.25">
      <c r="A36" s="2">
        <v>32</v>
      </c>
      <c r="B36" s="2" t="s">
        <v>128</v>
      </c>
      <c r="C36" s="2" t="s">
        <v>137</v>
      </c>
      <c r="D36" s="2" t="s">
        <v>23</v>
      </c>
      <c r="E36" s="10">
        <v>1</v>
      </c>
      <c r="F36" s="11">
        <v>600</v>
      </c>
      <c r="G36" s="11">
        <v>600</v>
      </c>
      <c r="H36" s="5">
        <v>1</v>
      </c>
      <c r="I36" s="5">
        <v>0.9</v>
      </c>
      <c r="J36" s="2" t="s">
        <v>138</v>
      </c>
    </row>
    <row r="37" spans="1:16" x14ac:dyDescent="0.25">
      <c r="A37" s="2">
        <v>33</v>
      </c>
      <c r="B37" s="2" t="s">
        <v>128</v>
      </c>
      <c r="C37" s="2" t="s">
        <v>139</v>
      </c>
      <c r="D37" s="2" t="s">
        <v>23</v>
      </c>
      <c r="E37" s="10">
        <v>2</v>
      </c>
      <c r="F37" s="11">
        <v>600</v>
      </c>
      <c r="G37" s="11">
        <v>600</v>
      </c>
      <c r="H37" s="5">
        <v>1</v>
      </c>
      <c r="I37" s="5">
        <v>0.9</v>
      </c>
      <c r="J37" s="2" t="s">
        <v>140</v>
      </c>
    </row>
    <row r="38" spans="1:16" x14ac:dyDescent="0.25">
      <c r="A38" s="2">
        <v>34</v>
      </c>
      <c r="B38" s="2" t="s">
        <v>128</v>
      </c>
      <c r="C38" s="2" t="s">
        <v>141</v>
      </c>
      <c r="D38" s="2" t="s">
        <v>23</v>
      </c>
      <c r="E38" s="10">
        <v>4</v>
      </c>
      <c r="F38" s="11">
        <v>600</v>
      </c>
      <c r="G38" s="11">
        <v>600</v>
      </c>
      <c r="H38" s="5">
        <v>1</v>
      </c>
      <c r="I38" s="5">
        <v>0.9</v>
      </c>
      <c r="J38" s="2" t="s">
        <v>142</v>
      </c>
    </row>
    <row r="39" spans="1:16" x14ac:dyDescent="0.25">
      <c r="A39" s="2">
        <v>35</v>
      </c>
      <c r="B39" s="2" t="s">
        <v>128</v>
      </c>
      <c r="C39" s="2" t="s">
        <v>143</v>
      </c>
      <c r="D39" s="2" t="s">
        <v>23</v>
      </c>
      <c r="E39" s="10">
        <v>1</v>
      </c>
      <c r="F39" s="11">
        <v>600</v>
      </c>
      <c r="G39" s="11">
        <v>600</v>
      </c>
      <c r="H39" s="5">
        <v>1</v>
      </c>
      <c r="I39" s="5">
        <v>0.9</v>
      </c>
      <c r="J39" s="2" t="s">
        <v>144</v>
      </c>
    </row>
    <row r="40" spans="1:16" x14ac:dyDescent="0.25">
      <c r="A40" s="2">
        <v>36</v>
      </c>
      <c r="B40" s="2" t="s">
        <v>128</v>
      </c>
      <c r="C40" s="2" t="s">
        <v>145</v>
      </c>
      <c r="D40" s="2" t="s">
        <v>23</v>
      </c>
      <c r="E40" s="10">
        <v>2</v>
      </c>
      <c r="F40" s="11">
        <v>600</v>
      </c>
      <c r="G40" s="11">
        <v>600</v>
      </c>
      <c r="H40" s="5">
        <v>1</v>
      </c>
      <c r="I40" s="5">
        <v>0.9</v>
      </c>
      <c r="J40" s="2" t="s">
        <v>146</v>
      </c>
    </row>
    <row r="41" spans="1:16" x14ac:dyDescent="0.25">
      <c r="A41" s="2">
        <v>37</v>
      </c>
      <c r="B41" s="2" t="s">
        <v>147</v>
      </c>
      <c r="C41" s="2" t="s">
        <v>148</v>
      </c>
      <c r="D41" s="2" t="s">
        <v>23</v>
      </c>
      <c r="E41" s="10">
        <v>1</v>
      </c>
      <c r="F41" s="11">
        <v>480</v>
      </c>
      <c r="G41" s="11">
        <v>480</v>
      </c>
      <c r="H41" s="5">
        <v>1</v>
      </c>
      <c r="I41" s="5">
        <v>1</v>
      </c>
      <c r="J41" s="2" t="s">
        <v>149</v>
      </c>
    </row>
    <row r="42" spans="1:16" x14ac:dyDescent="0.25">
      <c r="A42" s="2">
        <v>38</v>
      </c>
      <c r="B42" s="2" t="s">
        <v>147</v>
      </c>
      <c r="C42" s="2" t="s">
        <v>150</v>
      </c>
      <c r="D42" s="2" t="s">
        <v>23</v>
      </c>
      <c r="E42" s="10">
        <v>0.5</v>
      </c>
      <c r="F42" s="11">
        <v>4800</v>
      </c>
      <c r="G42" s="11">
        <v>4800</v>
      </c>
      <c r="H42" s="5">
        <v>1</v>
      </c>
      <c r="I42" s="5">
        <v>1</v>
      </c>
      <c r="J42" s="2" t="s">
        <v>151</v>
      </c>
    </row>
    <row r="43" spans="1:16" x14ac:dyDescent="0.25">
      <c r="A43" s="2">
        <v>39</v>
      </c>
      <c r="B43" s="2" t="s">
        <v>152</v>
      </c>
      <c r="C43" s="2" t="s">
        <v>153</v>
      </c>
      <c r="D43" s="2" t="s">
        <v>26</v>
      </c>
      <c r="E43" s="10">
        <v>5</v>
      </c>
      <c r="F43" s="11">
        <v>560</v>
      </c>
      <c r="G43" s="11">
        <v>560</v>
      </c>
      <c r="H43" s="5">
        <v>0.99750000000000005</v>
      </c>
      <c r="I43" s="5">
        <v>0.99750000000000005</v>
      </c>
      <c r="J43" s="2" t="s">
        <v>154</v>
      </c>
    </row>
    <row r="45" spans="1:16" x14ac:dyDescent="0.25">
      <c r="A45" s="19" t="s">
        <v>155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</row>
    <row r="46" spans="1:16" x14ac:dyDescent="0.25">
      <c r="A46" s="1" t="s">
        <v>71</v>
      </c>
      <c r="B46" s="1" t="s">
        <v>72</v>
      </c>
      <c r="C46" s="1" t="s">
        <v>73</v>
      </c>
      <c r="D46" s="1" t="s">
        <v>74</v>
      </c>
      <c r="E46" s="1" t="s">
        <v>156</v>
      </c>
      <c r="F46" s="1" t="s">
        <v>157</v>
      </c>
      <c r="G46" s="1" t="s">
        <v>158</v>
      </c>
      <c r="H46" s="1" t="s">
        <v>159</v>
      </c>
      <c r="I46" s="1" t="s">
        <v>160</v>
      </c>
      <c r="J46" s="1" t="s">
        <v>161</v>
      </c>
      <c r="K46" s="1" t="s">
        <v>162</v>
      </c>
      <c r="L46" s="1" t="s">
        <v>163</v>
      </c>
      <c r="M46" s="1" t="s">
        <v>164</v>
      </c>
      <c r="N46" s="1" t="s">
        <v>165</v>
      </c>
      <c r="O46" s="1" t="s">
        <v>166</v>
      </c>
      <c r="P46" s="1" t="s">
        <v>167</v>
      </c>
    </row>
    <row r="47" spans="1:16" x14ac:dyDescent="0.25">
      <c r="A47" s="6">
        <f t="shared" ref="A47:D66" si="0">IFERROR(IF(A5="","",A5),"")</f>
        <v>1</v>
      </c>
      <c r="B47" s="6" t="str">
        <f t="shared" si="0"/>
        <v>1. PRINTING Line</v>
      </c>
      <c r="C47" s="6" t="str">
        <f t="shared" si="0"/>
        <v>Cutting</v>
      </c>
      <c r="D47" s="6" t="str">
        <f t="shared" si="0"/>
        <v>WC-CUT</v>
      </c>
      <c r="E47" s="12">
        <f t="shared" ref="E47:E85" si="1">IFERROR(IF(OR(C5="", F5="", H5="", F5=0, H5=0), "", E5/(F5*H5)), "")</f>
        <v>1.6181229773462783E-4</v>
      </c>
      <c r="F47" s="12">
        <f t="shared" ref="F47:F85" si="2">IFERROR(IF(OR(C5="", G5="", I5="", G5=0, I5=0), "", E5/(G5*I5)), "")</f>
        <v>1.6181229773462783E-4</v>
      </c>
      <c r="G47" s="12">
        <f t="shared" ref="G47:G85" si="3">IFERROR(IF(OR(C5="", E47="", F47=""), "", F47-E47), "")</f>
        <v>0</v>
      </c>
      <c r="H47" s="7">
        <f>IFERROR(IF(OR(C5="", E47=""), "", E47*IFERROR(VLOOKUP(D5,'1_MASTER_RATES'!A$9:F$12,3,FALSE),0)), "")</f>
        <v>1.7037216828478967E-2</v>
      </c>
      <c r="I47" s="7">
        <f>IFERROR(IF(OR(C5="", F47=""), "", F47*IFERROR(VLOOKUP(D5,'1_MASTER_RATES'!A$9:F$12,3,FALSE),0)), "")</f>
        <v>1.7037216828478967E-2</v>
      </c>
      <c r="J47" s="7">
        <f t="shared" ref="J47:J85" si="4">IFERROR(IF(OR(C5="", H47="", I47=""), "", I47-H47), "")</f>
        <v>0</v>
      </c>
      <c r="K47" s="7">
        <f>IFERROR(IF(OR(C5="", E47=""), "", E47*IFERROR(VLOOKUP(D5,'1_MASTER_RATES'!A$9:F$12,4,FALSE),0)), "")</f>
        <v>2.2407766990291261E-2</v>
      </c>
      <c r="L47" s="7">
        <f>IFERROR(IF(OR(C5="", F47=""), "", F47*IFERROR(VLOOKUP(D5,'1_MASTER_RATES'!A$9:F$12,4,FALSE),0)), "")</f>
        <v>2.2407766990291261E-2</v>
      </c>
      <c r="M47" s="7">
        <f t="shared" ref="M47:M85" si="5">IFERROR(IF(OR(C5="", K47="", L47=""), "", L47-K47), "")</f>
        <v>0</v>
      </c>
      <c r="N47" s="7">
        <f t="shared" ref="N47:N85" si="6">IFERROR(IF(C5="","", H47+K47), "")</f>
        <v>3.9444983818770228E-2</v>
      </c>
      <c r="O47" s="7">
        <f t="shared" ref="O47:O85" si="7">IFERROR(IF(C5="","", I47+L47), "")</f>
        <v>3.9444983818770228E-2</v>
      </c>
      <c r="P47" s="7">
        <f t="shared" ref="P47:P85" si="8">IFERROR(IF(C5="","", O47-N47), "")</f>
        <v>0</v>
      </c>
    </row>
    <row r="48" spans="1:16" x14ac:dyDescent="0.25">
      <c r="A48" s="6">
        <f t="shared" si="0"/>
        <v>2</v>
      </c>
      <c r="B48" s="6" t="str">
        <f t="shared" si="0"/>
        <v>1. PRINTING Line</v>
      </c>
      <c r="C48" s="6" t="str">
        <f t="shared" si="0"/>
        <v>Annealing</v>
      </c>
      <c r="D48" s="6" t="str">
        <f t="shared" si="0"/>
        <v>WC-CUT</v>
      </c>
      <c r="E48" s="12">
        <f t="shared" si="1"/>
        <v>3.9682539682539683E-4</v>
      </c>
      <c r="F48" s="12">
        <f t="shared" si="2"/>
        <v>3.9682539682539683E-4</v>
      </c>
      <c r="G48" s="12">
        <f t="shared" si="3"/>
        <v>0</v>
      </c>
      <c r="H48" s="7">
        <f>IFERROR(IF(OR(C6="", E48=""), "", E48*IFERROR(VLOOKUP(D6,'1_MASTER_RATES'!A$9:F$12,3,FALSE),0)), "")</f>
        <v>4.1781746031746031E-2</v>
      </c>
      <c r="I48" s="7">
        <f>IFERROR(IF(OR(C6="", F48=""), "", F48*IFERROR(VLOOKUP(D6,'1_MASTER_RATES'!A$9:F$12,3,FALSE),0)), "")</f>
        <v>4.1781746031746031E-2</v>
      </c>
      <c r="J48" s="7">
        <f t="shared" si="4"/>
        <v>0</v>
      </c>
      <c r="K48" s="7">
        <f>IFERROR(IF(OR(C6="", E48=""), "", E48*IFERROR(VLOOKUP(D6,'1_MASTER_RATES'!A$9:F$12,4,FALSE),0)), "")</f>
        <v>5.4952380952380947E-2</v>
      </c>
      <c r="L48" s="7">
        <f>IFERROR(IF(OR(C6="", F48=""), "", F48*IFERROR(VLOOKUP(D6,'1_MASTER_RATES'!A$9:F$12,4,FALSE),0)), "")</f>
        <v>5.4952380952380947E-2</v>
      </c>
      <c r="M48" s="7">
        <f t="shared" si="5"/>
        <v>0</v>
      </c>
      <c r="N48" s="7">
        <f t="shared" si="6"/>
        <v>9.6734126984126978E-2</v>
      </c>
      <c r="O48" s="7">
        <f t="shared" si="7"/>
        <v>9.6734126984126978E-2</v>
      </c>
      <c r="P48" s="7">
        <f t="shared" si="8"/>
        <v>0</v>
      </c>
    </row>
    <row r="49" spans="1:16" x14ac:dyDescent="0.25">
      <c r="A49" s="6">
        <f t="shared" si="0"/>
        <v>3</v>
      </c>
      <c r="B49" s="6" t="str">
        <f t="shared" si="0"/>
        <v>1. PRINTING Line</v>
      </c>
      <c r="C49" s="6" t="str">
        <f t="shared" si="0"/>
        <v>Re-anneal#1</v>
      </c>
      <c r="D49" s="6" t="str">
        <f t="shared" si="0"/>
        <v>WC-PRT</v>
      </c>
      <c r="E49" s="12">
        <f t="shared" si="1"/>
        <v>4.2735042735042735E-4</v>
      </c>
      <c r="F49" s="12">
        <f t="shared" si="2"/>
        <v>4.2735042735042735E-4</v>
      </c>
      <c r="G49" s="12">
        <f t="shared" si="3"/>
        <v>0</v>
      </c>
      <c r="H49" s="7">
        <f>IFERROR(IF(OR(C7="", E49=""), "", E49*IFERROR(VLOOKUP(D7,'1_MASTER_RATES'!A$9:F$12,3,FALSE),0)), "")</f>
        <v>4.4995726495726501E-2</v>
      </c>
      <c r="I49" s="7">
        <f>IFERROR(IF(OR(C7="", F49=""), "", F49*IFERROR(VLOOKUP(D7,'1_MASTER_RATES'!A$9:F$12,3,FALSE),0)), "")</f>
        <v>4.4995726495726501E-2</v>
      </c>
      <c r="J49" s="7">
        <f t="shared" si="4"/>
        <v>0</v>
      </c>
      <c r="K49" s="7">
        <f>IFERROR(IF(OR(C7="", E49=""), "", E49*IFERROR(VLOOKUP(D7,'1_MASTER_RATES'!A$9:F$12,4,FALSE),0)), "")</f>
        <v>4.1747863247863247E-2</v>
      </c>
      <c r="L49" s="7">
        <f>IFERROR(IF(OR(C7="", F49=""), "", F49*IFERROR(VLOOKUP(D7,'1_MASTER_RATES'!A$9:F$12,4,FALSE),0)), "")</f>
        <v>4.1747863247863247E-2</v>
      </c>
      <c r="M49" s="7">
        <f t="shared" si="5"/>
        <v>0</v>
      </c>
      <c r="N49" s="7">
        <f t="shared" si="6"/>
        <v>8.6743589743589755E-2</v>
      </c>
      <c r="O49" s="7">
        <f t="shared" si="7"/>
        <v>8.6743589743589755E-2</v>
      </c>
      <c r="P49" s="7">
        <f t="shared" si="8"/>
        <v>0</v>
      </c>
    </row>
    <row r="50" spans="1:16" x14ac:dyDescent="0.25">
      <c r="A50" s="6">
        <f t="shared" si="0"/>
        <v>4</v>
      </c>
      <c r="B50" s="6" t="str">
        <f t="shared" si="0"/>
        <v>1. PRINTING Line</v>
      </c>
      <c r="C50" s="6" t="str">
        <f t="shared" si="0"/>
        <v>Cleaning M/C(Back side)</v>
      </c>
      <c r="D50" s="6" t="str">
        <f t="shared" si="0"/>
        <v>WC-PRT</v>
      </c>
      <c r="E50" s="12">
        <f t="shared" si="1"/>
        <v>1.4492753623188405E-4</v>
      </c>
      <c r="F50" s="12">
        <f t="shared" si="2"/>
        <v>1.4492753623188405E-4</v>
      </c>
      <c r="G50" s="12">
        <f t="shared" si="3"/>
        <v>0</v>
      </c>
      <c r="H50" s="7">
        <f>IFERROR(IF(OR(C8="", E50=""), "", E50*IFERROR(VLOOKUP(D8,'1_MASTER_RATES'!A$9:F$12,3,FALSE),0)), "")</f>
        <v>1.5259420289855073E-2</v>
      </c>
      <c r="I50" s="7">
        <f>IFERROR(IF(OR(C8="", F50=""), "", F50*IFERROR(VLOOKUP(D8,'1_MASTER_RATES'!A$9:F$12,3,FALSE),0)), "")</f>
        <v>1.5259420289855073E-2</v>
      </c>
      <c r="J50" s="7">
        <f t="shared" si="4"/>
        <v>0</v>
      </c>
      <c r="K50" s="7">
        <f>IFERROR(IF(OR(C8="", E50=""), "", E50*IFERROR(VLOOKUP(D8,'1_MASTER_RATES'!A$9:F$12,4,FALSE),0)), "")</f>
        <v>1.4157971014492753E-2</v>
      </c>
      <c r="L50" s="7">
        <f>IFERROR(IF(OR(C8="", F50=""), "", F50*IFERROR(VLOOKUP(D8,'1_MASTER_RATES'!A$9:F$12,4,FALSE),0)), "")</f>
        <v>1.4157971014492753E-2</v>
      </c>
      <c r="M50" s="7">
        <f t="shared" si="5"/>
        <v>0</v>
      </c>
      <c r="N50" s="7">
        <f t="shared" si="6"/>
        <v>2.9417391304347826E-2</v>
      </c>
      <c r="O50" s="7">
        <f t="shared" si="7"/>
        <v>2.9417391304347826E-2</v>
      </c>
      <c r="P50" s="7">
        <f t="shared" si="8"/>
        <v>0</v>
      </c>
    </row>
    <row r="51" spans="1:16" x14ac:dyDescent="0.25">
      <c r="A51" s="6">
        <f t="shared" si="0"/>
        <v>5</v>
      </c>
      <c r="B51" s="6" t="str">
        <f t="shared" si="0"/>
        <v>1. PRINTING Line</v>
      </c>
      <c r="C51" s="6" t="str">
        <f t="shared" si="0"/>
        <v>Printing-BAg</v>
      </c>
      <c r="D51" s="6" t="str">
        <f t="shared" si="0"/>
        <v>WC-PRT</v>
      </c>
      <c r="E51" s="12">
        <f t="shared" si="1"/>
        <v>2.1231422505307855E-3</v>
      </c>
      <c r="F51" s="12">
        <f t="shared" si="2"/>
        <v>2.1231422505307855E-3</v>
      </c>
      <c r="G51" s="12">
        <f t="shared" si="3"/>
        <v>0</v>
      </c>
      <c r="H51" s="7">
        <f>IFERROR(IF(OR(C9="", E51=""), "", E51*IFERROR(VLOOKUP(D9,'1_MASTER_RATES'!A$9:F$12,3,FALSE),0)), "")</f>
        <v>0.22354564755838643</v>
      </c>
      <c r="I51" s="7">
        <f>IFERROR(IF(OR(C9="", F51=""), "", F51*IFERROR(VLOOKUP(D9,'1_MASTER_RATES'!A$9:F$12,3,FALSE),0)), "")</f>
        <v>0.22354564755838643</v>
      </c>
      <c r="J51" s="7">
        <f t="shared" si="4"/>
        <v>0</v>
      </c>
      <c r="K51" s="7">
        <f>IFERROR(IF(OR(C9="", E51=""), "", E51*IFERROR(VLOOKUP(D9,'1_MASTER_RATES'!A$9:F$12,4,FALSE),0)), "")</f>
        <v>0.20740976645435244</v>
      </c>
      <c r="L51" s="7">
        <f>IFERROR(IF(OR(C9="", F51=""), "", F51*IFERROR(VLOOKUP(D9,'1_MASTER_RATES'!A$9:F$12,4,FALSE),0)), "")</f>
        <v>0.20740976645435244</v>
      </c>
      <c r="M51" s="7">
        <f t="shared" si="5"/>
        <v>0</v>
      </c>
      <c r="N51" s="7">
        <f t="shared" si="6"/>
        <v>0.43095541401273885</v>
      </c>
      <c r="O51" s="7">
        <f t="shared" si="7"/>
        <v>0.43095541401273885</v>
      </c>
      <c r="P51" s="7">
        <f t="shared" si="8"/>
        <v>0</v>
      </c>
    </row>
    <row r="52" spans="1:16" x14ac:dyDescent="0.25">
      <c r="A52" s="6">
        <f t="shared" si="0"/>
        <v>6</v>
      </c>
      <c r="B52" s="6" t="str">
        <f t="shared" si="0"/>
        <v>1. PRINTING Line</v>
      </c>
      <c r="C52" s="6" t="str">
        <f t="shared" si="0"/>
        <v>Cleaning M/C(Back side)</v>
      </c>
      <c r="D52" s="6" t="str">
        <f t="shared" si="0"/>
        <v>WC-PRT</v>
      </c>
      <c r="E52" s="12">
        <f t="shared" si="1"/>
        <v>1.4492753623188405E-4</v>
      </c>
      <c r="F52" s="12">
        <f t="shared" si="2"/>
        <v>1.4492753623188405E-4</v>
      </c>
      <c r="G52" s="12">
        <f t="shared" si="3"/>
        <v>0</v>
      </c>
      <c r="H52" s="7">
        <f>IFERROR(IF(OR(C10="", E52=""), "", E52*IFERROR(VLOOKUP(D10,'1_MASTER_RATES'!A$9:F$12,3,FALSE),0)), "")</f>
        <v>1.5259420289855073E-2</v>
      </c>
      <c r="I52" s="7">
        <f>IFERROR(IF(OR(C10="", F52=""), "", F52*IFERROR(VLOOKUP(D10,'1_MASTER_RATES'!A$9:F$12,3,FALSE),0)), "")</f>
        <v>1.5259420289855073E-2</v>
      </c>
      <c r="J52" s="7">
        <f t="shared" si="4"/>
        <v>0</v>
      </c>
      <c r="K52" s="7">
        <f>IFERROR(IF(OR(C10="", E52=""), "", E52*IFERROR(VLOOKUP(D10,'1_MASTER_RATES'!A$9:F$12,4,FALSE),0)), "")</f>
        <v>1.4157971014492753E-2</v>
      </c>
      <c r="L52" s="7">
        <f>IFERROR(IF(OR(C10="", F52=""), "", F52*IFERROR(VLOOKUP(D10,'1_MASTER_RATES'!A$9:F$12,4,FALSE),0)), "")</f>
        <v>1.4157971014492753E-2</v>
      </c>
      <c r="M52" s="7">
        <f t="shared" si="5"/>
        <v>0</v>
      </c>
      <c r="N52" s="7">
        <f t="shared" si="6"/>
        <v>2.9417391304347826E-2</v>
      </c>
      <c r="O52" s="7">
        <f t="shared" si="7"/>
        <v>2.9417391304347826E-2</v>
      </c>
      <c r="P52" s="7">
        <f t="shared" si="8"/>
        <v>0</v>
      </c>
    </row>
    <row r="53" spans="1:16" x14ac:dyDescent="0.25">
      <c r="A53" s="6">
        <f t="shared" si="0"/>
        <v>7</v>
      </c>
      <c r="B53" s="6" t="str">
        <f t="shared" si="0"/>
        <v>1. PRINTING Line</v>
      </c>
      <c r="C53" s="6" t="str">
        <f t="shared" si="0"/>
        <v>Printing-BC</v>
      </c>
      <c r="D53" s="6" t="str">
        <f t="shared" si="0"/>
        <v>WC-PRT</v>
      </c>
      <c r="E53" s="12">
        <f t="shared" si="1"/>
        <v>2.05761316872428E-3</v>
      </c>
      <c r="F53" s="12">
        <f t="shared" si="2"/>
        <v>2.05761316872428E-3</v>
      </c>
      <c r="G53" s="12">
        <f t="shared" si="3"/>
        <v>0</v>
      </c>
      <c r="H53" s="7">
        <f>IFERROR(IF(OR(C11="", E53=""), "", E53*IFERROR(VLOOKUP(D11,'1_MASTER_RATES'!A$9:F$12,3,FALSE),0)), "")</f>
        <v>0.21664609053497946</v>
      </c>
      <c r="I53" s="7">
        <f>IFERROR(IF(OR(C11="", F53=""), "", F53*IFERROR(VLOOKUP(D11,'1_MASTER_RATES'!A$9:F$12,3,FALSE),0)), "")</f>
        <v>0.21664609053497946</v>
      </c>
      <c r="J53" s="7">
        <f t="shared" si="4"/>
        <v>0</v>
      </c>
      <c r="K53" s="7">
        <f>IFERROR(IF(OR(C11="", E53=""), "", E53*IFERROR(VLOOKUP(D11,'1_MASTER_RATES'!A$9:F$12,4,FALSE),0)), "")</f>
        <v>0.20100823045267491</v>
      </c>
      <c r="L53" s="7">
        <f>IFERROR(IF(OR(C11="", F53=""), "", F53*IFERROR(VLOOKUP(D11,'1_MASTER_RATES'!A$9:F$12,4,FALSE),0)), "")</f>
        <v>0.20100823045267491</v>
      </c>
      <c r="M53" s="7">
        <f t="shared" si="5"/>
        <v>0</v>
      </c>
      <c r="N53" s="7">
        <f t="shared" si="6"/>
        <v>0.41765432098765437</v>
      </c>
      <c r="O53" s="7">
        <f t="shared" si="7"/>
        <v>0.41765432098765437</v>
      </c>
      <c r="P53" s="7">
        <f t="shared" si="8"/>
        <v>0</v>
      </c>
    </row>
    <row r="54" spans="1:16" x14ac:dyDescent="0.25">
      <c r="A54" s="6">
        <f t="shared" si="0"/>
        <v>8</v>
      </c>
      <c r="B54" s="6" t="str">
        <f t="shared" si="0"/>
        <v>1. PRINTING Line</v>
      </c>
      <c r="C54" s="6" t="str">
        <f t="shared" si="0"/>
        <v>Cleaning M/C(Back side)</v>
      </c>
      <c r="D54" s="6" t="str">
        <f t="shared" si="0"/>
        <v>WC-PRT</v>
      </c>
      <c r="E54" s="12">
        <f t="shared" si="1"/>
        <v>1.4492753623188405E-4</v>
      </c>
      <c r="F54" s="12">
        <f t="shared" si="2"/>
        <v>1.4492753623188405E-4</v>
      </c>
      <c r="G54" s="12">
        <f t="shared" si="3"/>
        <v>0</v>
      </c>
      <c r="H54" s="7">
        <f>IFERROR(IF(OR(C12="", E54=""), "", E54*IFERROR(VLOOKUP(D12,'1_MASTER_RATES'!A$9:F$12,3,FALSE),0)), "")</f>
        <v>1.5259420289855073E-2</v>
      </c>
      <c r="I54" s="7">
        <f>IFERROR(IF(OR(C12="", F54=""), "", F54*IFERROR(VLOOKUP(D12,'1_MASTER_RATES'!A$9:F$12,3,FALSE),0)), "")</f>
        <v>1.5259420289855073E-2</v>
      </c>
      <c r="J54" s="7">
        <f t="shared" si="4"/>
        <v>0</v>
      </c>
      <c r="K54" s="7">
        <f>IFERROR(IF(OR(C12="", E54=""), "", E54*IFERROR(VLOOKUP(D12,'1_MASTER_RATES'!A$9:F$12,4,FALSE),0)), "")</f>
        <v>1.4157971014492753E-2</v>
      </c>
      <c r="L54" s="7">
        <f>IFERROR(IF(OR(C12="", F54=""), "", F54*IFERROR(VLOOKUP(D12,'1_MASTER_RATES'!A$9:F$12,4,FALSE),0)), "")</f>
        <v>1.4157971014492753E-2</v>
      </c>
      <c r="M54" s="7">
        <f t="shared" si="5"/>
        <v>0</v>
      </c>
      <c r="N54" s="7">
        <f t="shared" si="6"/>
        <v>2.9417391304347826E-2</v>
      </c>
      <c r="O54" s="7">
        <f t="shared" si="7"/>
        <v>2.9417391304347826E-2</v>
      </c>
      <c r="P54" s="7">
        <f t="shared" si="8"/>
        <v>0</v>
      </c>
    </row>
    <row r="55" spans="1:16" x14ac:dyDescent="0.25">
      <c r="A55" s="6">
        <f t="shared" si="0"/>
        <v>9</v>
      </c>
      <c r="B55" s="6" t="str">
        <f t="shared" si="0"/>
        <v>1. PRINTING Line</v>
      </c>
      <c r="C55" s="6" t="str">
        <f t="shared" si="0"/>
        <v>Printing-BUR1</v>
      </c>
      <c r="D55" s="6" t="str">
        <f t="shared" si="0"/>
        <v>WC-PRT</v>
      </c>
      <c r="E55" s="12">
        <f t="shared" si="1"/>
        <v>1.6339869281045752E-3</v>
      </c>
      <c r="F55" s="12">
        <f t="shared" si="2"/>
        <v>1.6339869281045752E-3</v>
      </c>
      <c r="G55" s="12">
        <f t="shared" si="3"/>
        <v>0</v>
      </c>
      <c r="H55" s="7">
        <f>IFERROR(IF(OR(C13="", E55=""), "", E55*IFERROR(VLOOKUP(D13,'1_MASTER_RATES'!A$9:F$12,3,FALSE),0)), "")</f>
        <v>0.17204248366013072</v>
      </c>
      <c r="I55" s="7">
        <f>IFERROR(IF(OR(C13="", F55=""), "", F55*IFERROR(VLOOKUP(D13,'1_MASTER_RATES'!A$9:F$12,3,FALSE),0)), "")</f>
        <v>0.17204248366013072</v>
      </c>
      <c r="J55" s="7">
        <f t="shared" si="4"/>
        <v>0</v>
      </c>
      <c r="K55" s="7">
        <f>IFERROR(IF(OR(C13="", E55=""), "", E55*IFERROR(VLOOKUP(D13,'1_MASTER_RATES'!A$9:F$12,4,FALSE),0)), "")</f>
        <v>0.15962418300653594</v>
      </c>
      <c r="L55" s="7">
        <f>IFERROR(IF(OR(C13="", F55=""), "", F55*IFERROR(VLOOKUP(D13,'1_MASTER_RATES'!A$9:F$12,4,FALSE),0)), "")</f>
        <v>0.15962418300653594</v>
      </c>
      <c r="M55" s="7">
        <f t="shared" si="5"/>
        <v>0</v>
      </c>
      <c r="N55" s="7">
        <f t="shared" si="6"/>
        <v>0.33166666666666667</v>
      </c>
      <c r="O55" s="7">
        <f t="shared" si="7"/>
        <v>0.33166666666666667</v>
      </c>
      <c r="P55" s="7">
        <f t="shared" si="8"/>
        <v>0</v>
      </c>
    </row>
    <row r="56" spans="1:16" x14ac:dyDescent="0.25">
      <c r="A56" s="6">
        <f t="shared" si="0"/>
        <v>10</v>
      </c>
      <c r="B56" s="6" t="str">
        <f t="shared" si="0"/>
        <v>1. PRINTING Line</v>
      </c>
      <c r="C56" s="6" t="str">
        <f t="shared" si="0"/>
        <v>Cleaning M/C(Back side)</v>
      </c>
      <c r="D56" s="6" t="str">
        <f t="shared" si="0"/>
        <v>WC-PRT</v>
      </c>
      <c r="E56" s="12">
        <f t="shared" si="1"/>
        <v>1.4492753623188405E-4</v>
      </c>
      <c r="F56" s="12">
        <f t="shared" si="2"/>
        <v>1.4492753623188405E-4</v>
      </c>
      <c r="G56" s="12">
        <f t="shared" si="3"/>
        <v>0</v>
      </c>
      <c r="H56" s="7">
        <f>IFERROR(IF(OR(C14="", E56=""), "", E56*IFERROR(VLOOKUP(D14,'1_MASTER_RATES'!A$9:F$12,3,FALSE),0)), "")</f>
        <v>1.5259420289855073E-2</v>
      </c>
      <c r="I56" s="7">
        <f>IFERROR(IF(OR(C14="", F56=""), "", F56*IFERROR(VLOOKUP(D14,'1_MASTER_RATES'!A$9:F$12,3,FALSE),0)), "")</f>
        <v>1.5259420289855073E-2</v>
      </c>
      <c r="J56" s="7">
        <f t="shared" si="4"/>
        <v>0</v>
      </c>
      <c r="K56" s="7">
        <f>IFERROR(IF(OR(C14="", E56=""), "", E56*IFERROR(VLOOKUP(D14,'1_MASTER_RATES'!A$9:F$12,4,FALSE),0)), "")</f>
        <v>1.4157971014492753E-2</v>
      </c>
      <c r="L56" s="7">
        <f>IFERROR(IF(OR(C14="", F56=""), "", F56*IFERROR(VLOOKUP(D14,'1_MASTER_RATES'!A$9:F$12,4,FALSE),0)), "")</f>
        <v>1.4157971014492753E-2</v>
      </c>
      <c r="M56" s="7">
        <f t="shared" si="5"/>
        <v>0</v>
      </c>
      <c r="N56" s="7">
        <f t="shared" si="6"/>
        <v>2.9417391304347826E-2</v>
      </c>
      <c r="O56" s="7">
        <f t="shared" si="7"/>
        <v>2.9417391304347826E-2</v>
      </c>
      <c r="P56" s="7">
        <f t="shared" si="8"/>
        <v>0</v>
      </c>
    </row>
    <row r="57" spans="1:16" x14ac:dyDescent="0.25">
      <c r="A57" s="6">
        <f t="shared" si="0"/>
        <v>11</v>
      </c>
      <c r="B57" s="6" t="str">
        <f t="shared" si="0"/>
        <v>1. PRINTING Line</v>
      </c>
      <c r="C57" s="6" t="str">
        <f t="shared" si="0"/>
        <v>Printing-BUR2</v>
      </c>
      <c r="D57" s="6" t="str">
        <f t="shared" si="0"/>
        <v>WC-PRT</v>
      </c>
      <c r="E57" s="12">
        <f t="shared" si="1"/>
        <v>1.4970059880239522E-3</v>
      </c>
      <c r="F57" s="12">
        <f t="shared" si="2"/>
        <v>1.4970059880239522E-3</v>
      </c>
      <c r="G57" s="12">
        <f t="shared" si="3"/>
        <v>0</v>
      </c>
      <c r="H57" s="7">
        <f>IFERROR(IF(OR(C15="", E57=""), "", E57*IFERROR(VLOOKUP(D15,'1_MASTER_RATES'!A$9:F$12,3,FALSE),0)), "")</f>
        <v>0.15761976047904194</v>
      </c>
      <c r="I57" s="7">
        <f>IFERROR(IF(OR(C15="", F57=""), "", F57*IFERROR(VLOOKUP(D15,'1_MASTER_RATES'!A$9:F$12,3,FALSE),0)), "")</f>
        <v>0.15761976047904194</v>
      </c>
      <c r="J57" s="7">
        <f t="shared" si="4"/>
        <v>0</v>
      </c>
      <c r="K57" s="7">
        <f>IFERROR(IF(OR(C15="", E57=""), "", E57*IFERROR(VLOOKUP(D15,'1_MASTER_RATES'!A$9:F$12,4,FALSE),0)), "")</f>
        <v>0.14624251497005988</v>
      </c>
      <c r="L57" s="7">
        <f>IFERROR(IF(OR(C15="", F57=""), "", F57*IFERROR(VLOOKUP(D15,'1_MASTER_RATES'!A$9:F$12,4,FALSE),0)), "")</f>
        <v>0.14624251497005988</v>
      </c>
      <c r="M57" s="7">
        <f t="shared" si="5"/>
        <v>0</v>
      </c>
      <c r="N57" s="7">
        <f t="shared" si="6"/>
        <v>0.30386227544910183</v>
      </c>
      <c r="O57" s="7">
        <f t="shared" si="7"/>
        <v>0.30386227544910183</v>
      </c>
      <c r="P57" s="7">
        <f t="shared" si="8"/>
        <v>0</v>
      </c>
    </row>
    <row r="58" spans="1:16" x14ac:dyDescent="0.25">
      <c r="A58" s="6">
        <f t="shared" si="0"/>
        <v>12</v>
      </c>
      <c r="B58" s="6" t="str">
        <f t="shared" si="0"/>
        <v>1. PRINTING Line</v>
      </c>
      <c r="C58" s="6" t="str">
        <f t="shared" si="0"/>
        <v>Cleaning M/C(Back side)</v>
      </c>
      <c r="D58" s="6" t="str">
        <f t="shared" si="0"/>
        <v>WC-PRT</v>
      </c>
      <c r="E58" s="12">
        <f t="shared" si="1"/>
        <v>1.4492753623188405E-4</v>
      </c>
      <c r="F58" s="12">
        <f t="shared" si="2"/>
        <v>1.4492753623188405E-4</v>
      </c>
      <c r="G58" s="12">
        <f t="shared" si="3"/>
        <v>0</v>
      </c>
      <c r="H58" s="7">
        <f>IFERROR(IF(OR(C16="", E58=""), "", E58*IFERROR(VLOOKUP(D16,'1_MASTER_RATES'!A$9:F$12,3,FALSE),0)), "")</f>
        <v>1.5259420289855073E-2</v>
      </c>
      <c r="I58" s="7">
        <f>IFERROR(IF(OR(C16="", F58=""), "", F58*IFERROR(VLOOKUP(D16,'1_MASTER_RATES'!A$9:F$12,3,FALSE),0)), "")</f>
        <v>1.5259420289855073E-2</v>
      </c>
      <c r="J58" s="7">
        <f t="shared" si="4"/>
        <v>0</v>
      </c>
      <c r="K58" s="7">
        <f>IFERROR(IF(OR(C16="", E58=""), "", E58*IFERROR(VLOOKUP(D16,'1_MASTER_RATES'!A$9:F$12,4,FALSE),0)), "")</f>
        <v>1.4157971014492753E-2</v>
      </c>
      <c r="L58" s="7">
        <f>IFERROR(IF(OR(C16="", F58=""), "", F58*IFERROR(VLOOKUP(D16,'1_MASTER_RATES'!A$9:F$12,4,FALSE),0)), "")</f>
        <v>1.4157971014492753E-2</v>
      </c>
      <c r="M58" s="7">
        <f t="shared" si="5"/>
        <v>0</v>
      </c>
      <c r="N58" s="7">
        <f t="shared" si="6"/>
        <v>2.9417391304347826E-2</v>
      </c>
      <c r="O58" s="7">
        <f t="shared" si="7"/>
        <v>2.9417391304347826E-2</v>
      </c>
      <c r="P58" s="7">
        <f t="shared" si="8"/>
        <v>0</v>
      </c>
    </row>
    <row r="59" spans="1:16" x14ac:dyDescent="0.25">
      <c r="A59" s="6">
        <f t="shared" si="0"/>
        <v>13</v>
      </c>
      <c r="B59" s="6" t="str">
        <f t="shared" si="0"/>
        <v>1. PRINTING Line</v>
      </c>
      <c r="C59" s="6" t="str">
        <f t="shared" si="0"/>
        <v>Re-anneal#2</v>
      </c>
      <c r="D59" s="6" t="str">
        <f t="shared" si="0"/>
        <v>WC-PRT</v>
      </c>
      <c r="E59" s="12">
        <f t="shared" si="1"/>
        <v>2.9239766081871346E-4</v>
      </c>
      <c r="F59" s="12">
        <f t="shared" si="2"/>
        <v>2.9239766081871346E-4</v>
      </c>
      <c r="G59" s="12">
        <f t="shared" si="3"/>
        <v>0</v>
      </c>
      <c r="H59" s="7">
        <f>IFERROR(IF(OR(C17="", E59=""), "", E59*IFERROR(VLOOKUP(D17,'1_MASTER_RATES'!A$9:F$12,3,FALSE),0)), "")</f>
        <v>3.0786549707602341E-2</v>
      </c>
      <c r="I59" s="7">
        <f>IFERROR(IF(OR(C17="", F59=""), "", F59*IFERROR(VLOOKUP(D17,'1_MASTER_RATES'!A$9:F$12,3,FALSE),0)), "")</f>
        <v>3.0786549707602341E-2</v>
      </c>
      <c r="J59" s="7">
        <f t="shared" si="4"/>
        <v>0</v>
      </c>
      <c r="K59" s="7">
        <f>IFERROR(IF(OR(C17="", E59=""), "", E59*IFERROR(VLOOKUP(D17,'1_MASTER_RATES'!A$9:F$12,4,FALSE),0)), "")</f>
        <v>2.8564327485380119E-2</v>
      </c>
      <c r="L59" s="7">
        <f>IFERROR(IF(OR(C17="", F59=""), "", F59*IFERROR(VLOOKUP(D17,'1_MASTER_RATES'!A$9:F$12,4,FALSE),0)), "")</f>
        <v>2.8564327485380119E-2</v>
      </c>
      <c r="M59" s="7">
        <f t="shared" si="5"/>
        <v>0</v>
      </c>
      <c r="N59" s="7">
        <f t="shared" si="6"/>
        <v>5.935087719298246E-2</v>
      </c>
      <c r="O59" s="7">
        <f t="shared" si="7"/>
        <v>5.935087719298246E-2</v>
      </c>
      <c r="P59" s="7">
        <f t="shared" si="8"/>
        <v>0</v>
      </c>
    </row>
    <row r="60" spans="1:16" x14ac:dyDescent="0.25">
      <c r="A60" s="6">
        <f t="shared" si="0"/>
        <v>14</v>
      </c>
      <c r="B60" s="6" t="str">
        <f t="shared" si="0"/>
        <v>1. PRINTING Line</v>
      </c>
      <c r="C60" s="6" t="str">
        <f t="shared" si="0"/>
        <v>Cleaning M/C(Back side)</v>
      </c>
      <c r="D60" s="6" t="str">
        <f t="shared" si="0"/>
        <v>WC-PRT</v>
      </c>
      <c r="E60" s="12">
        <f t="shared" si="1"/>
        <v>1.4492753623188405E-4</v>
      </c>
      <c r="F60" s="12">
        <f t="shared" si="2"/>
        <v>1.4492753623188405E-4</v>
      </c>
      <c r="G60" s="12">
        <f t="shared" si="3"/>
        <v>0</v>
      </c>
      <c r="H60" s="7">
        <f>IFERROR(IF(OR(C18="", E60=""), "", E60*IFERROR(VLOOKUP(D18,'1_MASTER_RATES'!A$9:F$12,3,FALSE),0)), "")</f>
        <v>1.5259420289855073E-2</v>
      </c>
      <c r="I60" s="7">
        <f>IFERROR(IF(OR(C18="", F60=""), "", F60*IFERROR(VLOOKUP(D18,'1_MASTER_RATES'!A$9:F$12,3,FALSE),0)), "")</f>
        <v>1.5259420289855073E-2</v>
      </c>
      <c r="J60" s="7">
        <f t="shared" si="4"/>
        <v>0</v>
      </c>
      <c r="K60" s="7">
        <f>IFERROR(IF(OR(C18="", E60=""), "", E60*IFERROR(VLOOKUP(D18,'1_MASTER_RATES'!A$9:F$12,4,FALSE),0)), "")</f>
        <v>1.4157971014492753E-2</v>
      </c>
      <c r="L60" s="7">
        <f>IFERROR(IF(OR(C18="", F60=""), "", F60*IFERROR(VLOOKUP(D18,'1_MASTER_RATES'!A$9:F$12,4,FALSE),0)), "")</f>
        <v>1.4157971014492753E-2</v>
      </c>
      <c r="M60" s="7">
        <f t="shared" si="5"/>
        <v>0</v>
      </c>
      <c r="N60" s="7">
        <f t="shared" si="6"/>
        <v>2.9417391304347826E-2</v>
      </c>
      <c r="O60" s="7">
        <f t="shared" si="7"/>
        <v>2.9417391304347826E-2</v>
      </c>
      <c r="P60" s="7">
        <f t="shared" si="8"/>
        <v>0</v>
      </c>
    </row>
    <row r="61" spans="1:16" x14ac:dyDescent="0.25">
      <c r="A61" s="6">
        <f t="shared" si="0"/>
        <v>15</v>
      </c>
      <c r="B61" s="6" t="str">
        <f t="shared" si="0"/>
        <v>1. PRINTING Line</v>
      </c>
      <c r="C61" s="6" t="str">
        <f t="shared" si="0"/>
        <v>Printing-BAg.J</v>
      </c>
      <c r="D61" s="6" t="str">
        <f t="shared" si="0"/>
        <v>WC-PRT</v>
      </c>
      <c r="E61" s="12">
        <f t="shared" si="1"/>
        <v>5.0890585241730284E-3</v>
      </c>
      <c r="F61" s="12">
        <f t="shared" si="2"/>
        <v>5.0890585241730284E-3</v>
      </c>
      <c r="G61" s="12">
        <f t="shared" si="3"/>
        <v>0</v>
      </c>
      <c r="H61" s="7">
        <f>IFERROR(IF(OR(C19="", E61=""), "", E61*IFERROR(VLOOKUP(D19,'1_MASTER_RATES'!A$9:F$12,3,FALSE),0)), "")</f>
        <v>0.53582697201017815</v>
      </c>
      <c r="I61" s="7">
        <f>IFERROR(IF(OR(C19="", F61=""), "", F61*IFERROR(VLOOKUP(D19,'1_MASTER_RATES'!A$9:F$12,3,FALSE),0)), "")</f>
        <v>0.53582697201017815</v>
      </c>
      <c r="J61" s="7">
        <f t="shared" si="4"/>
        <v>0</v>
      </c>
      <c r="K61" s="7">
        <f>IFERROR(IF(OR(C19="", E61=""), "", E61*IFERROR(VLOOKUP(D19,'1_MASTER_RATES'!A$9:F$12,4,FALSE),0)), "")</f>
        <v>0.49715012722646312</v>
      </c>
      <c r="L61" s="7">
        <f>IFERROR(IF(OR(C19="", F61=""), "", F61*IFERROR(VLOOKUP(D19,'1_MASTER_RATES'!A$9:F$12,4,FALSE),0)), "")</f>
        <v>0.49715012722646312</v>
      </c>
      <c r="M61" s="7">
        <f t="shared" si="5"/>
        <v>0</v>
      </c>
      <c r="N61" s="7">
        <f t="shared" si="6"/>
        <v>1.0329770992366414</v>
      </c>
      <c r="O61" s="7">
        <f t="shared" si="7"/>
        <v>1.0329770992366414</v>
      </c>
      <c r="P61" s="7">
        <f t="shared" si="8"/>
        <v>0</v>
      </c>
    </row>
    <row r="62" spans="1:16" x14ac:dyDescent="0.25">
      <c r="A62" s="6">
        <f t="shared" si="0"/>
        <v>16</v>
      </c>
      <c r="B62" s="6" t="str">
        <f t="shared" si="0"/>
        <v>1. PRINTING Line</v>
      </c>
      <c r="C62" s="6" t="str">
        <f t="shared" si="0"/>
        <v>Cleaning M/C(Back side)</v>
      </c>
      <c r="D62" s="6" t="str">
        <f t="shared" si="0"/>
        <v>WC-PRT</v>
      </c>
      <c r="E62" s="12">
        <f t="shared" si="1"/>
        <v>1.4492753623188405E-4</v>
      </c>
      <c r="F62" s="12">
        <f t="shared" si="2"/>
        <v>1.4492753623188405E-4</v>
      </c>
      <c r="G62" s="12">
        <f t="shared" si="3"/>
        <v>0</v>
      </c>
      <c r="H62" s="7">
        <f>IFERROR(IF(OR(C20="", E62=""), "", E62*IFERROR(VLOOKUP(D20,'1_MASTER_RATES'!A$9:F$12,3,FALSE),0)), "")</f>
        <v>1.5259420289855073E-2</v>
      </c>
      <c r="I62" s="7">
        <f>IFERROR(IF(OR(C20="", F62=""), "", F62*IFERROR(VLOOKUP(D20,'1_MASTER_RATES'!A$9:F$12,3,FALSE),0)), "")</f>
        <v>1.5259420289855073E-2</v>
      </c>
      <c r="J62" s="7">
        <f t="shared" si="4"/>
        <v>0</v>
      </c>
      <c r="K62" s="7">
        <f>IFERROR(IF(OR(C20="", E62=""), "", E62*IFERROR(VLOOKUP(D20,'1_MASTER_RATES'!A$9:F$12,4,FALSE),0)), "")</f>
        <v>1.4157971014492753E-2</v>
      </c>
      <c r="L62" s="7">
        <f>IFERROR(IF(OR(C20="", F62=""), "", F62*IFERROR(VLOOKUP(D20,'1_MASTER_RATES'!A$9:F$12,4,FALSE),0)), "")</f>
        <v>1.4157971014492753E-2</v>
      </c>
      <c r="M62" s="7">
        <f t="shared" si="5"/>
        <v>0</v>
      </c>
      <c r="N62" s="7">
        <f t="shared" si="6"/>
        <v>2.9417391304347826E-2</v>
      </c>
      <c r="O62" s="7">
        <f t="shared" si="7"/>
        <v>2.9417391304347826E-2</v>
      </c>
      <c r="P62" s="7">
        <f t="shared" si="8"/>
        <v>0</v>
      </c>
    </row>
    <row r="63" spans="1:16" x14ac:dyDescent="0.25">
      <c r="A63" s="6">
        <f t="shared" si="0"/>
        <v>17</v>
      </c>
      <c r="B63" s="6" t="str">
        <f t="shared" si="0"/>
        <v>1. PRINTING Line</v>
      </c>
      <c r="C63" s="6" t="str">
        <f t="shared" si="0"/>
        <v>Printing-BOR</v>
      </c>
      <c r="D63" s="6" t="str">
        <f t="shared" si="0"/>
        <v>WC-PRT</v>
      </c>
      <c r="E63" s="12">
        <f t="shared" si="1"/>
        <v>9.8039215686274508E-4</v>
      </c>
      <c r="F63" s="12">
        <f t="shared" si="2"/>
        <v>9.8039215686274508E-4</v>
      </c>
      <c r="G63" s="12">
        <f t="shared" si="3"/>
        <v>0</v>
      </c>
      <c r="H63" s="7">
        <f>IFERROR(IF(OR(C21="", E63=""), "", E63*IFERROR(VLOOKUP(D21,'1_MASTER_RATES'!A$9:F$12,3,FALSE),0)), "")</f>
        <v>0.10322549019607843</v>
      </c>
      <c r="I63" s="7">
        <f>IFERROR(IF(OR(C21="", F63=""), "", F63*IFERROR(VLOOKUP(D21,'1_MASTER_RATES'!A$9:F$12,3,FALSE),0)), "")</f>
        <v>0.10322549019607843</v>
      </c>
      <c r="J63" s="7">
        <f t="shared" si="4"/>
        <v>0</v>
      </c>
      <c r="K63" s="7">
        <f>IFERROR(IF(OR(C21="", E63=""), "", E63*IFERROR(VLOOKUP(D21,'1_MASTER_RATES'!A$9:F$12,4,FALSE),0)), "")</f>
        <v>9.5774509803921562E-2</v>
      </c>
      <c r="L63" s="7">
        <f>IFERROR(IF(OR(C21="", F63=""), "", F63*IFERROR(VLOOKUP(D21,'1_MASTER_RATES'!A$9:F$12,4,FALSE),0)), "")</f>
        <v>9.5774509803921562E-2</v>
      </c>
      <c r="M63" s="7">
        <f t="shared" si="5"/>
        <v>0</v>
      </c>
      <c r="N63" s="7">
        <f t="shared" si="6"/>
        <v>0.19900000000000001</v>
      </c>
      <c r="O63" s="7">
        <f t="shared" si="7"/>
        <v>0.19900000000000001</v>
      </c>
      <c r="P63" s="7">
        <f t="shared" si="8"/>
        <v>0</v>
      </c>
    </row>
    <row r="64" spans="1:16" x14ac:dyDescent="0.25">
      <c r="A64" s="6">
        <f t="shared" si="0"/>
        <v>18</v>
      </c>
      <c r="B64" s="6" t="str">
        <f t="shared" si="0"/>
        <v>1. PRINTING Line</v>
      </c>
      <c r="C64" s="6" t="str">
        <f t="shared" si="0"/>
        <v>Cleaning M/C(Back side)</v>
      </c>
      <c r="D64" s="6" t="str">
        <f t="shared" si="0"/>
        <v>WC-PRT</v>
      </c>
      <c r="E64" s="12">
        <f t="shared" si="1"/>
        <v>1.4492753623188405E-4</v>
      </c>
      <c r="F64" s="12">
        <f t="shared" si="2"/>
        <v>1.4492753623188405E-4</v>
      </c>
      <c r="G64" s="12">
        <f t="shared" si="3"/>
        <v>0</v>
      </c>
      <c r="H64" s="7">
        <f>IFERROR(IF(OR(C22="", E64=""), "", E64*IFERROR(VLOOKUP(D22,'1_MASTER_RATES'!A$9:F$12,3,FALSE),0)), "")</f>
        <v>1.5259420289855073E-2</v>
      </c>
      <c r="I64" s="7">
        <f>IFERROR(IF(OR(C22="", F64=""), "", F64*IFERROR(VLOOKUP(D22,'1_MASTER_RATES'!A$9:F$12,3,FALSE),0)), "")</f>
        <v>1.5259420289855073E-2</v>
      </c>
      <c r="J64" s="7">
        <f t="shared" si="4"/>
        <v>0</v>
      </c>
      <c r="K64" s="7">
        <f>IFERROR(IF(OR(C22="", E64=""), "", E64*IFERROR(VLOOKUP(D22,'1_MASTER_RATES'!A$9:F$12,4,FALSE),0)), "")</f>
        <v>1.4157971014492753E-2</v>
      </c>
      <c r="L64" s="7">
        <f>IFERROR(IF(OR(C22="", F64=""), "", F64*IFERROR(VLOOKUP(D22,'1_MASTER_RATES'!A$9:F$12,4,FALSE),0)), "")</f>
        <v>1.4157971014492753E-2</v>
      </c>
      <c r="M64" s="7">
        <f t="shared" si="5"/>
        <v>0</v>
      </c>
      <c r="N64" s="7">
        <f t="shared" si="6"/>
        <v>2.9417391304347826E-2</v>
      </c>
      <c r="O64" s="7">
        <f t="shared" si="7"/>
        <v>2.9417391304347826E-2</v>
      </c>
      <c r="P64" s="7">
        <f t="shared" si="8"/>
        <v>0</v>
      </c>
    </row>
    <row r="65" spans="1:16" x14ac:dyDescent="0.25">
      <c r="A65" s="6">
        <f t="shared" si="0"/>
        <v>19</v>
      </c>
      <c r="B65" s="6" t="str">
        <f t="shared" si="0"/>
        <v>1. PRINTING Line</v>
      </c>
      <c r="C65" s="6" t="str">
        <f t="shared" si="0"/>
        <v>Re-anneal#3</v>
      </c>
      <c r="D65" s="6" t="str">
        <f t="shared" si="0"/>
        <v>WC-PRT</v>
      </c>
      <c r="E65" s="12">
        <f t="shared" si="1"/>
        <v>2.9239766081871346E-4</v>
      </c>
      <c r="F65" s="12">
        <f t="shared" si="2"/>
        <v>2.9239766081871346E-4</v>
      </c>
      <c r="G65" s="12">
        <f t="shared" si="3"/>
        <v>0</v>
      </c>
      <c r="H65" s="7">
        <f>IFERROR(IF(OR(C23="", E65=""), "", E65*IFERROR(VLOOKUP(D23,'1_MASTER_RATES'!A$9:F$12,3,FALSE),0)), "")</f>
        <v>3.0786549707602341E-2</v>
      </c>
      <c r="I65" s="7">
        <f>IFERROR(IF(OR(C23="", F65=""), "", F65*IFERROR(VLOOKUP(D23,'1_MASTER_RATES'!A$9:F$12,3,FALSE),0)), "")</f>
        <v>3.0786549707602341E-2</v>
      </c>
      <c r="J65" s="7">
        <f t="shared" si="4"/>
        <v>0</v>
      </c>
      <c r="K65" s="7">
        <f>IFERROR(IF(OR(C23="", E65=""), "", E65*IFERROR(VLOOKUP(D23,'1_MASTER_RATES'!A$9:F$12,4,FALSE),0)), "")</f>
        <v>2.8564327485380119E-2</v>
      </c>
      <c r="L65" s="7">
        <f>IFERROR(IF(OR(C23="", F65=""), "", F65*IFERROR(VLOOKUP(D23,'1_MASTER_RATES'!A$9:F$12,4,FALSE),0)), "")</f>
        <v>2.8564327485380119E-2</v>
      </c>
      <c r="M65" s="7">
        <f t="shared" si="5"/>
        <v>0</v>
      </c>
      <c r="N65" s="7">
        <f t="shared" si="6"/>
        <v>5.935087719298246E-2</v>
      </c>
      <c r="O65" s="7">
        <f t="shared" si="7"/>
        <v>5.935087719298246E-2</v>
      </c>
      <c r="P65" s="7">
        <f t="shared" si="8"/>
        <v>0</v>
      </c>
    </row>
    <row r="66" spans="1:16" x14ac:dyDescent="0.25">
      <c r="A66" s="6">
        <f t="shared" si="0"/>
        <v>20</v>
      </c>
      <c r="B66" s="6" t="str">
        <f t="shared" si="0"/>
        <v>1. PRINTING Line</v>
      </c>
      <c r="C66" s="6" t="str">
        <f t="shared" si="0"/>
        <v>Cleaning M/C(Back side)</v>
      </c>
      <c r="D66" s="6" t="str">
        <f t="shared" si="0"/>
        <v>WC-PRT</v>
      </c>
      <c r="E66" s="12">
        <f t="shared" si="1"/>
        <v>1.4492753623188405E-4</v>
      </c>
      <c r="F66" s="12">
        <f t="shared" si="2"/>
        <v>1.4492753623188405E-4</v>
      </c>
      <c r="G66" s="12">
        <f t="shared" si="3"/>
        <v>0</v>
      </c>
      <c r="H66" s="7">
        <f>IFERROR(IF(OR(C24="", E66=""), "", E66*IFERROR(VLOOKUP(D24,'1_MASTER_RATES'!A$9:F$12,3,FALSE),0)), "")</f>
        <v>1.5259420289855073E-2</v>
      </c>
      <c r="I66" s="7">
        <f>IFERROR(IF(OR(C24="", F66=""), "", F66*IFERROR(VLOOKUP(D24,'1_MASTER_RATES'!A$9:F$12,3,FALSE),0)), "")</f>
        <v>1.5259420289855073E-2</v>
      </c>
      <c r="J66" s="7">
        <f t="shared" si="4"/>
        <v>0</v>
      </c>
      <c r="K66" s="7">
        <f>IFERROR(IF(OR(C24="", E66=""), "", E66*IFERROR(VLOOKUP(D24,'1_MASTER_RATES'!A$9:F$12,4,FALSE),0)), "")</f>
        <v>1.4157971014492753E-2</v>
      </c>
      <c r="L66" s="7">
        <f>IFERROR(IF(OR(C24="", F66=""), "", F66*IFERROR(VLOOKUP(D24,'1_MASTER_RATES'!A$9:F$12,4,FALSE),0)), "")</f>
        <v>1.4157971014492753E-2</v>
      </c>
      <c r="M66" s="7">
        <f t="shared" si="5"/>
        <v>0</v>
      </c>
      <c r="N66" s="7">
        <f t="shared" si="6"/>
        <v>2.9417391304347826E-2</v>
      </c>
      <c r="O66" s="7">
        <f t="shared" si="7"/>
        <v>2.9417391304347826E-2</v>
      </c>
      <c r="P66" s="7">
        <f t="shared" si="8"/>
        <v>0</v>
      </c>
    </row>
    <row r="67" spans="1:16" x14ac:dyDescent="0.25">
      <c r="A67" s="6">
        <f t="shared" ref="A67:D86" si="9">IFERROR(IF(A25="","",A25),"")</f>
        <v>21</v>
      </c>
      <c r="B67" s="6" t="str">
        <f t="shared" si="9"/>
        <v>1. PRINTING Line</v>
      </c>
      <c r="C67" s="6" t="str">
        <f t="shared" si="9"/>
        <v>Laminate Carrier film</v>
      </c>
      <c r="D67" s="6" t="str">
        <f t="shared" si="9"/>
        <v>WC-PRT</v>
      </c>
      <c r="E67" s="12">
        <f t="shared" si="1"/>
        <v>3.0303030303030303E-3</v>
      </c>
      <c r="F67" s="12">
        <f t="shared" si="2"/>
        <v>3.0303030303030303E-3</v>
      </c>
      <c r="G67" s="12">
        <f t="shared" si="3"/>
        <v>0</v>
      </c>
      <c r="H67" s="7">
        <f>IFERROR(IF(OR(C25="", E67=""), "", E67*IFERROR(VLOOKUP(D25,'1_MASTER_RATES'!A$9:F$12,3,FALSE),0)), "")</f>
        <v>0.3190606060606061</v>
      </c>
      <c r="I67" s="7">
        <f>IFERROR(IF(OR(C25="", F67=""), "", F67*IFERROR(VLOOKUP(D25,'1_MASTER_RATES'!A$9:F$12,3,FALSE),0)), "")</f>
        <v>0.3190606060606061</v>
      </c>
      <c r="J67" s="7">
        <f t="shared" si="4"/>
        <v>0</v>
      </c>
      <c r="K67" s="7">
        <f>IFERROR(IF(OR(C25="", E67=""), "", E67*IFERROR(VLOOKUP(D25,'1_MASTER_RATES'!A$9:F$12,4,FALSE),0)), "")</f>
        <v>0.29603030303030303</v>
      </c>
      <c r="L67" s="7">
        <f>IFERROR(IF(OR(C25="", F67=""), "", F67*IFERROR(VLOOKUP(D25,'1_MASTER_RATES'!A$9:F$12,4,FALSE),0)), "")</f>
        <v>0.29603030303030303</v>
      </c>
      <c r="M67" s="7">
        <f t="shared" si="5"/>
        <v>0</v>
      </c>
      <c r="N67" s="7">
        <f t="shared" si="6"/>
        <v>0.61509090909090913</v>
      </c>
      <c r="O67" s="7">
        <f t="shared" si="7"/>
        <v>0.61509090909090913</v>
      </c>
      <c r="P67" s="7">
        <f t="shared" si="8"/>
        <v>0</v>
      </c>
    </row>
    <row r="68" spans="1:16" x14ac:dyDescent="0.25">
      <c r="A68" s="6">
        <f t="shared" si="9"/>
        <v>22</v>
      </c>
      <c r="B68" s="6" t="str">
        <f t="shared" si="9"/>
        <v>1. PRINTING Line</v>
      </c>
      <c r="C68" s="6" t="str">
        <f t="shared" si="9"/>
        <v>Re-anneal#4</v>
      </c>
      <c r="D68" s="6" t="str">
        <f t="shared" si="9"/>
        <v>WC-PRT</v>
      </c>
      <c r="E68" s="12">
        <f t="shared" si="1"/>
        <v>1.9841269841269841E-4</v>
      </c>
      <c r="F68" s="12">
        <f t="shared" si="2"/>
        <v>1.9841269841269841E-4</v>
      </c>
      <c r="G68" s="12">
        <f t="shared" si="3"/>
        <v>0</v>
      </c>
      <c r="H68" s="7">
        <f>IFERROR(IF(OR(C26="", E68=""), "", E68*IFERROR(VLOOKUP(D26,'1_MASTER_RATES'!A$9:F$12,3,FALSE),0)), "")</f>
        <v>2.0890873015873015E-2</v>
      </c>
      <c r="I68" s="7">
        <f>IFERROR(IF(OR(C26="", F68=""), "", F68*IFERROR(VLOOKUP(D26,'1_MASTER_RATES'!A$9:F$12,3,FALSE),0)), "")</f>
        <v>2.0890873015873015E-2</v>
      </c>
      <c r="J68" s="7">
        <f t="shared" si="4"/>
        <v>0</v>
      </c>
      <c r="K68" s="7">
        <f>IFERROR(IF(OR(C26="", E68=""), "", E68*IFERROR(VLOOKUP(D26,'1_MASTER_RATES'!A$9:F$12,4,FALSE),0)), "")</f>
        <v>1.9382936507936509E-2</v>
      </c>
      <c r="L68" s="7">
        <f>IFERROR(IF(OR(C26="", F68=""), "", F68*IFERROR(VLOOKUP(D26,'1_MASTER_RATES'!A$9:F$12,4,FALSE),0)), "")</f>
        <v>1.9382936507936509E-2</v>
      </c>
      <c r="M68" s="7">
        <f t="shared" si="5"/>
        <v>0</v>
      </c>
      <c r="N68" s="7">
        <f t="shared" si="6"/>
        <v>4.0273809523809524E-2</v>
      </c>
      <c r="O68" s="7">
        <f t="shared" si="7"/>
        <v>4.0273809523809524E-2</v>
      </c>
      <c r="P68" s="7">
        <f t="shared" si="8"/>
        <v>0</v>
      </c>
    </row>
    <row r="69" spans="1:16" x14ac:dyDescent="0.25">
      <c r="A69" s="6">
        <f t="shared" si="9"/>
        <v>23</v>
      </c>
      <c r="B69" s="6" t="str">
        <f t="shared" si="9"/>
        <v>2. Material Prep &amp; Cutting</v>
      </c>
      <c r="C69" s="6" t="str">
        <f t="shared" si="9"/>
        <v>PET support: Cutting</v>
      </c>
      <c r="D69" s="6" t="str">
        <f t="shared" si="9"/>
        <v>WC-CUT</v>
      </c>
      <c r="E69" s="12">
        <f t="shared" si="1"/>
        <v>6.9444444444444444E-5</v>
      </c>
      <c r="F69" s="12">
        <f t="shared" si="2"/>
        <v>6.9444444444444444E-5</v>
      </c>
      <c r="G69" s="12">
        <f t="shared" si="3"/>
        <v>0</v>
      </c>
      <c r="H69" s="7">
        <f>IFERROR(IF(OR(C27="", E69=""), "", E69*IFERROR(VLOOKUP(D27,'1_MASTER_RATES'!A$9:F$12,3,FALSE),0)), "")</f>
        <v>7.3118055555555558E-3</v>
      </c>
      <c r="I69" s="7">
        <f>IFERROR(IF(OR(C27="", F69=""), "", F69*IFERROR(VLOOKUP(D27,'1_MASTER_RATES'!A$9:F$12,3,FALSE),0)), "")</f>
        <v>7.3118055555555558E-3</v>
      </c>
      <c r="J69" s="7">
        <f t="shared" si="4"/>
        <v>0</v>
      </c>
      <c r="K69" s="7">
        <f>IFERROR(IF(OR(C27="", E69=""), "", E69*IFERROR(VLOOKUP(D27,'1_MASTER_RATES'!A$9:F$12,4,FALSE),0)), "")</f>
        <v>9.6166666666666657E-3</v>
      </c>
      <c r="L69" s="7">
        <f>IFERROR(IF(OR(C27="", F69=""), "", F69*IFERROR(VLOOKUP(D27,'1_MASTER_RATES'!A$9:F$12,4,FALSE),0)), "")</f>
        <v>9.6166666666666657E-3</v>
      </c>
      <c r="M69" s="7">
        <f t="shared" si="5"/>
        <v>0</v>
      </c>
      <c r="N69" s="7">
        <f t="shared" si="6"/>
        <v>1.692847222222222E-2</v>
      </c>
      <c r="O69" s="7">
        <f t="shared" si="7"/>
        <v>1.692847222222222E-2</v>
      </c>
      <c r="P69" s="7">
        <f t="shared" si="8"/>
        <v>0</v>
      </c>
    </row>
    <row r="70" spans="1:16" x14ac:dyDescent="0.25">
      <c r="A70" s="6">
        <f t="shared" si="9"/>
        <v>24</v>
      </c>
      <c r="B70" s="6" t="str">
        <f t="shared" si="9"/>
        <v>2. Material Prep &amp; Cutting</v>
      </c>
      <c r="C70" s="6" t="str">
        <f t="shared" si="9"/>
        <v>Packing sheet: Cutting</v>
      </c>
      <c r="D70" s="6" t="str">
        <f t="shared" si="9"/>
        <v>WC-CUT</v>
      </c>
      <c r="E70" s="12">
        <f t="shared" si="1"/>
        <v>8.9285714285714286E-5</v>
      </c>
      <c r="F70" s="12">
        <f t="shared" si="2"/>
        <v>8.9285714285714286E-5</v>
      </c>
      <c r="G70" s="12">
        <f t="shared" si="3"/>
        <v>0</v>
      </c>
      <c r="H70" s="7">
        <f>IFERROR(IF(OR(C28="", E70=""), "", E70*IFERROR(VLOOKUP(D28,'1_MASTER_RATES'!A$9:F$12,3,FALSE),0)), "")</f>
        <v>9.4008928571428577E-3</v>
      </c>
      <c r="I70" s="7">
        <f>IFERROR(IF(OR(C28="", F70=""), "", F70*IFERROR(VLOOKUP(D28,'1_MASTER_RATES'!A$9:F$12,3,FALSE),0)), "")</f>
        <v>9.4008928571428577E-3</v>
      </c>
      <c r="J70" s="7">
        <f t="shared" si="4"/>
        <v>0</v>
      </c>
      <c r="K70" s="7">
        <f>IFERROR(IF(OR(C28="", E70=""), "", E70*IFERROR(VLOOKUP(D28,'1_MASTER_RATES'!A$9:F$12,4,FALSE),0)), "")</f>
        <v>1.2364285714285713E-2</v>
      </c>
      <c r="L70" s="7">
        <f>IFERROR(IF(OR(C28="", F70=""), "", F70*IFERROR(VLOOKUP(D28,'1_MASTER_RATES'!A$9:F$12,4,FALSE),0)), "")</f>
        <v>1.2364285714285713E-2</v>
      </c>
      <c r="M70" s="7">
        <f t="shared" si="5"/>
        <v>0</v>
      </c>
      <c r="N70" s="7">
        <f t="shared" si="6"/>
        <v>2.1765178571428571E-2</v>
      </c>
      <c r="O70" s="7">
        <f t="shared" si="7"/>
        <v>2.1765178571428571E-2</v>
      </c>
      <c r="P70" s="7">
        <f t="shared" si="8"/>
        <v>0</v>
      </c>
    </row>
    <row r="71" spans="1:16" x14ac:dyDescent="0.25">
      <c r="A71" s="6">
        <f t="shared" si="9"/>
        <v>25</v>
      </c>
      <c r="B71" s="6" t="str">
        <f t="shared" si="9"/>
        <v>2. Material Prep &amp; Cutting</v>
      </c>
      <c r="C71" s="6" t="str">
        <f t="shared" si="9"/>
        <v>Packing sheet: Half cut</v>
      </c>
      <c r="D71" s="6" t="str">
        <f t="shared" si="9"/>
        <v>WC-ASY</v>
      </c>
      <c r="E71" s="12">
        <f t="shared" si="1"/>
        <v>1.0416666666666667E-4</v>
      </c>
      <c r="F71" s="12">
        <f t="shared" si="2"/>
        <v>1.0416666666666667E-4</v>
      </c>
      <c r="G71" s="12">
        <f t="shared" si="3"/>
        <v>0</v>
      </c>
      <c r="H71" s="7">
        <f>IFERROR(IF(OR(C29="", E71=""), "", E71*IFERROR(VLOOKUP(D29,'1_MASTER_RATES'!A$9:F$12,3,FALSE),0)), "")</f>
        <v>1.0967708333333335E-2</v>
      </c>
      <c r="I71" s="7">
        <f>IFERROR(IF(OR(C29="", F71=""), "", F71*IFERROR(VLOOKUP(D29,'1_MASTER_RATES'!A$9:F$12,3,FALSE),0)), "")</f>
        <v>1.0967708333333335E-2</v>
      </c>
      <c r="J71" s="7">
        <f t="shared" si="4"/>
        <v>0</v>
      </c>
      <c r="K71" s="7">
        <f>IFERROR(IF(OR(C29="", E71=""), "", E71*IFERROR(VLOOKUP(D29,'1_MASTER_RATES'!A$9:F$12,4,FALSE),0)), "")</f>
        <v>9.4718750000000011E-3</v>
      </c>
      <c r="L71" s="7">
        <f>IFERROR(IF(OR(C29="", F71=""), "", F71*IFERROR(VLOOKUP(D29,'1_MASTER_RATES'!A$9:F$12,4,FALSE),0)), "")</f>
        <v>9.4718750000000011E-3</v>
      </c>
      <c r="M71" s="7">
        <f t="shared" si="5"/>
        <v>0</v>
      </c>
      <c r="N71" s="7">
        <f t="shared" si="6"/>
        <v>2.0439583333333337E-2</v>
      </c>
      <c r="O71" s="7">
        <f t="shared" si="7"/>
        <v>2.0439583333333337E-2</v>
      </c>
      <c r="P71" s="7">
        <f t="shared" si="8"/>
        <v>0</v>
      </c>
    </row>
    <row r="72" spans="1:16" x14ac:dyDescent="0.25">
      <c r="A72" s="6">
        <f t="shared" si="9"/>
        <v>26</v>
      </c>
      <c r="B72" s="6" t="str">
        <f t="shared" si="9"/>
        <v>2. Material Prep &amp; Cutting</v>
      </c>
      <c r="C72" s="6" t="str">
        <f t="shared" si="9"/>
        <v>Packing sheet: Blanking</v>
      </c>
      <c r="D72" s="6" t="str">
        <f t="shared" si="9"/>
        <v>WC-ASY</v>
      </c>
      <c r="E72" s="12">
        <f t="shared" si="1"/>
        <v>5.2798310454065466E-4</v>
      </c>
      <c r="F72" s="12">
        <f t="shared" si="2"/>
        <v>5.2798310454065466E-4</v>
      </c>
      <c r="G72" s="12">
        <f t="shared" si="3"/>
        <v>0</v>
      </c>
      <c r="H72" s="7">
        <f>IFERROR(IF(OR(C30="", E72=""), "", E72*IFERROR(VLOOKUP(D30,'1_MASTER_RATES'!A$9:F$12,3,FALSE),0)), "")</f>
        <v>5.5591341077085535E-2</v>
      </c>
      <c r="I72" s="7">
        <f>IFERROR(IF(OR(C30="", F72=""), "", F72*IFERROR(VLOOKUP(D30,'1_MASTER_RATES'!A$9:F$12,3,FALSE),0)), "")</f>
        <v>5.5591341077085535E-2</v>
      </c>
      <c r="J72" s="7">
        <f t="shared" si="4"/>
        <v>0</v>
      </c>
      <c r="K72" s="7">
        <f>IFERROR(IF(OR(C30="", E72=""), "", E72*IFERROR(VLOOKUP(D30,'1_MASTER_RATES'!A$9:F$12,4,FALSE),0)), "")</f>
        <v>4.8009503695881729E-2</v>
      </c>
      <c r="L72" s="7">
        <f>IFERROR(IF(OR(C30="", F72=""), "", F72*IFERROR(VLOOKUP(D30,'1_MASTER_RATES'!A$9:F$12,4,FALSE),0)), "")</f>
        <v>4.8009503695881729E-2</v>
      </c>
      <c r="M72" s="7">
        <f t="shared" si="5"/>
        <v>0</v>
      </c>
      <c r="N72" s="7">
        <f t="shared" si="6"/>
        <v>0.10360084477296727</v>
      </c>
      <c r="O72" s="7">
        <f t="shared" si="7"/>
        <v>0.10360084477296727</v>
      </c>
      <c r="P72" s="7">
        <f t="shared" si="8"/>
        <v>0</v>
      </c>
    </row>
    <row r="73" spans="1:16" x14ac:dyDescent="0.25">
      <c r="A73" s="6">
        <f t="shared" si="9"/>
        <v>27</v>
      </c>
      <c r="B73" s="6" t="str">
        <f t="shared" si="9"/>
        <v>2. Material Prep &amp; Cutting</v>
      </c>
      <c r="C73" s="6" t="str">
        <f t="shared" si="9"/>
        <v>Carrier Film: Cutting</v>
      </c>
      <c r="D73" s="6" t="str">
        <f t="shared" si="9"/>
        <v>WC-CUT</v>
      </c>
      <c r="E73" s="12">
        <f t="shared" si="1"/>
        <v>1.8455278431094638E-3</v>
      </c>
      <c r="F73" s="12">
        <f t="shared" si="2"/>
        <v>1.8455278431094638E-3</v>
      </c>
      <c r="G73" s="12">
        <f t="shared" si="3"/>
        <v>0</v>
      </c>
      <c r="H73" s="7">
        <f>IFERROR(IF(OR(C31="", E73=""), "", E73*IFERROR(VLOOKUP(D31,'1_MASTER_RATES'!A$9:F$12,3,FALSE),0)), "")</f>
        <v>0.19431562660099544</v>
      </c>
      <c r="I73" s="7">
        <f>IFERROR(IF(OR(C31="", F73=""), "", F73*IFERROR(VLOOKUP(D31,'1_MASTER_RATES'!A$9:F$12,3,FALSE),0)), "")</f>
        <v>0.19431562660099544</v>
      </c>
      <c r="J73" s="7">
        <f t="shared" si="4"/>
        <v>0</v>
      </c>
      <c r="K73" s="7">
        <f>IFERROR(IF(OR(C31="", E73=""), "", E73*IFERROR(VLOOKUP(D31,'1_MASTER_RATES'!A$9:F$12,4,FALSE),0)), "")</f>
        <v>0.25556869571379853</v>
      </c>
      <c r="L73" s="7">
        <f>IFERROR(IF(OR(C31="", F73=""), "", F73*IFERROR(VLOOKUP(D31,'1_MASTER_RATES'!A$9:F$12,4,FALSE),0)), "")</f>
        <v>0.25556869571379853</v>
      </c>
      <c r="M73" s="7">
        <f t="shared" si="5"/>
        <v>0</v>
      </c>
      <c r="N73" s="7">
        <f t="shared" si="6"/>
        <v>0.44988432231479397</v>
      </c>
      <c r="O73" s="7">
        <f t="shared" si="7"/>
        <v>0.44988432231479397</v>
      </c>
      <c r="P73" s="7">
        <f t="shared" si="8"/>
        <v>0</v>
      </c>
    </row>
    <row r="74" spans="1:16" x14ac:dyDescent="0.25">
      <c r="A74" s="6">
        <f t="shared" si="9"/>
        <v>28</v>
      </c>
      <c r="B74" s="6" t="str">
        <f t="shared" si="9"/>
        <v>3. Digital Assembly Line</v>
      </c>
      <c r="C74" s="6" t="str">
        <f t="shared" si="9"/>
        <v>AI-Ins</v>
      </c>
      <c r="D74" s="6" t="str">
        <f t="shared" si="9"/>
        <v>WC-ASY</v>
      </c>
      <c r="E74" s="12">
        <f t="shared" si="1"/>
        <v>6.6666666666666671E-3</v>
      </c>
      <c r="F74" s="12">
        <f t="shared" si="2"/>
        <v>9.0090090090090089E-3</v>
      </c>
      <c r="G74" s="12">
        <f t="shared" si="3"/>
        <v>2.3423423423423418E-3</v>
      </c>
      <c r="H74" s="7">
        <f>IFERROR(IF(OR(C32="", E74=""), "", E74*IFERROR(VLOOKUP(D32,'1_MASTER_RATES'!A$9:F$12,3,FALSE),0)), "")</f>
        <v>0.70193333333333341</v>
      </c>
      <c r="I74" s="7">
        <f>IFERROR(IF(OR(C32="", F74=""), "", F74*IFERROR(VLOOKUP(D32,'1_MASTER_RATES'!A$9:F$12,3,FALSE),0)), "")</f>
        <v>0.94855855855855864</v>
      </c>
      <c r="J74" s="7">
        <f t="shared" si="4"/>
        <v>0.24662522522522523</v>
      </c>
      <c r="K74" s="7">
        <f>IFERROR(IF(OR(C32="", E74=""), "", E74*IFERROR(VLOOKUP(D32,'1_MASTER_RATES'!A$9:F$12,4,FALSE),0)), "")</f>
        <v>0.60620000000000007</v>
      </c>
      <c r="L74" s="7">
        <f>IFERROR(IF(OR(C32="", F74=""), "", F74*IFERROR(VLOOKUP(D32,'1_MASTER_RATES'!A$9:F$12,4,FALSE),0)), "")</f>
        <v>0.81918918918918926</v>
      </c>
      <c r="M74" s="7">
        <f t="shared" si="5"/>
        <v>0.21298918918918919</v>
      </c>
      <c r="N74" s="7">
        <f t="shared" si="6"/>
        <v>1.3081333333333336</v>
      </c>
      <c r="O74" s="7">
        <f t="shared" si="7"/>
        <v>1.7677477477477479</v>
      </c>
      <c r="P74" s="7">
        <f t="shared" si="8"/>
        <v>0.45961441441441431</v>
      </c>
    </row>
    <row r="75" spans="1:16" x14ac:dyDescent="0.25">
      <c r="A75" s="6">
        <f t="shared" si="9"/>
        <v>29</v>
      </c>
      <c r="B75" s="6" t="str">
        <f t="shared" si="9"/>
        <v>3. Digital Assembly Line</v>
      </c>
      <c r="C75" s="6" t="str">
        <f t="shared" si="9"/>
        <v>P-ins</v>
      </c>
      <c r="D75" s="6" t="str">
        <f t="shared" si="9"/>
        <v>WC-ASY</v>
      </c>
      <c r="E75" s="12">
        <f t="shared" si="1"/>
        <v>3.3333333333333335E-3</v>
      </c>
      <c r="F75" s="12">
        <f t="shared" si="2"/>
        <v>3.968253968253968E-3</v>
      </c>
      <c r="G75" s="12">
        <f t="shared" si="3"/>
        <v>6.3492063492063449E-4</v>
      </c>
      <c r="H75" s="7">
        <f>IFERROR(IF(OR(C33="", E75=""), "", E75*IFERROR(VLOOKUP(D33,'1_MASTER_RATES'!A$9:F$12,3,FALSE),0)), "")</f>
        <v>0.3509666666666667</v>
      </c>
      <c r="I75" s="7">
        <f>IFERROR(IF(OR(C33="", F75=""), "", F75*IFERROR(VLOOKUP(D33,'1_MASTER_RATES'!A$9:F$12,3,FALSE),0)), "")</f>
        <v>0.41781746031746031</v>
      </c>
      <c r="J75" s="7">
        <f t="shared" si="4"/>
        <v>6.6850793650793605E-2</v>
      </c>
      <c r="K75" s="7">
        <f>IFERROR(IF(OR(C33="", E75=""), "", E75*IFERROR(VLOOKUP(D33,'1_MASTER_RATES'!A$9:F$12,4,FALSE),0)), "")</f>
        <v>0.30310000000000004</v>
      </c>
      <c r="L75" s="7">
        <f>IFERROR(IF(OR(C33="", F75=""), "", F75*IFERROR(VLOOKUP(D33,'1_MASTER_RATES'!A$9:F$12,4,FALSE),0)), "")</f>
        <v>0.36083333333333334</v>
      </c>
      <c r="M75" s="7">
        <f t="shared" si="5"/>
        <v>5.7733333333333303E-2</v>
      </c>
      <c r="N75" s="7">
        <f t="shared" si="6"/>
        <v>0.6540666666666668</v>
      </c>
      <c r="O75" s="7">
        <f t="shared" si="7"/>
        <v>0.77865079365079359</v>
      </c>
      <c r="P75" s="7">
        <f t="shared" si="8"/>
        <v>0.1245841269841268</v>
      </c>
    </row>
    <row r="76" spans="1:16" x14ac:dyDescent="0.25">
      <c r="A76" s="6">
        <f t="shared" si="9"/>
        <v>30</v>
      </c>
      <c r="B76" s="6" t="str">
        <f t="shared" si="9"/>
        <v>3. Digital Assembly Line</v>
      </c>
      <c r="C76" s="6" t="str">
        <f t="shared" si="9"/>
        <v>VDO-ins I</v>
      </c>
      <c r="D76" s="6" t="str">
        <f t="shared" si="9"/>
        <v>WC-ASY</v>
      </c>
      <c r="E76" s="12">
        <f t="shared" si="1"/>
        <v>6.6666666666666671E-3</v>
      </c>
      <c r="F76" s="12">
        <f t="shared" si="2"/>
        <v>7.9365079365079361E-3</v>
      </c>
      <c r="G76" s="12">
        <f t="shared" si="3"/>
        <v>1.269841269841269E-3</v>
      </c>
      <c r="H76" s="7">
        <f>IFERROR(IF(OR(C34="", E76=""), "", E76*IFERROR(VLOOKUP(D34,'1_MASTER_RATES'!A$9:F$12,3,FALSE),0)), "")</f>
        <v>0.70193333333333341</v>
      </c>
      <c r="I76" s="7">
        <f>IFERROR(IF(OR(C34="", F76=""), "", F76*IFERROR(VLOOKUP(D34,'1_MASTER_RATES'!A$9:F$12,3,FALSE),0)), "")</f>
        <v>0.83563492063492062</v>
      </c>
      <c r="J76" s="7">
        <f t="shared" si="4"/>
        <v>0.13370158730158721</v>
      </c>
      <c r="K76" s="7">
        <f>IFERROR(IF(OR(C34="", E76=""), "", E76*IFERROR(VLOOKUP(D34,'1_MASTER_RATES'!A$9:F$12,4,FALSE),0)), "")</f>
        <v>0.60620000000000007</v>
      </c>
      <c r="L76" s="7">
        <f>IFERROR(IF(OR(C34="", F76=""), "", F76*IFERROR(VLOOKUP(D34,'1_MASTER_RATES'!A$9:F$12,4,FALSE),0)), "")</f>
        <v>0.72166666666666668</v>
      </c>
      <c r="M76" s="7">
        <f t="shared" si="5"/>
        <v>0.11546666666666661</v>
      </c>
      <c r="N76" s="7">
        <f t="shared" si="6"/>
        <v>1.3081333333333336</v>
      </c>
      <c r="O76" s="7">
        <f t="shared" si="7"/>
        <v>1.5573015873015872</v>
      </c>
      <c r="P76" s="7">
        <f t="shared" si="8"/>
        <v>0.24916825396825359</v>
      </c>
    </row>
    <row r="77" spans="1:16" x14ac:dyDescent="0.25">
      <c r="A77" s="6">
        <f t="shared" si="9"/>
        <v>31</v>
      </c>
      <c r="B77" s="6" t="str">
        <f t="shared" si="9"/>
        <v>3. Digital Assembly Line</v>
      </c>
      <c r="C77" s="6" t="str">
        <f t="shared" si="9"/>
        <v>Outline Blanking</v>
      </c>
      <c r="D77" s="6" t="str">
        <f t="shared" si="9"/>
        <v>WC-ASY</v>
      </c>
      <c r="E77" s="12">
        <f t="shared" si="1"/>
        <v>1.6666666666666668E-3</v>
      </c>
      <c r="F77" s="12">
        <f t="shared" si="2"/>
        <v>1.984126984126984E-3</v>
      </c>
      <c r="G77" s="12">
        <f t="shared" si="3"/>
        <v>3.1746031746031724E-4</v>
      </c>
      <c r="H77" s="7">
        <f>IFERROR(IF(OR(C35="", E77=""), "", E77*IFERROR(VLOOKUP(D35,'1_MASTER_RATES'!A$9:F$12,3,FALSE),0)), "")</f>
        <v>0.17548333333333335</v>
      </c>
      <c r="I77" s="7">
        <f>IFERROR(IF(OR(C35="", F77=""), "", F77*IFERROR(VLOOKUP(D35,'1_MASTER_RATES'!A$9:F$12,3,FALSE),0)), "")</f>
        <v>0.20890873015873015</v>
      </c>
      <c r="J77" s="7">
        <f t="shared" si="4"/>
        <v>3.3425396825396803E-2</v>
      </c>
      <c r="K77" s="7">
        <f>IFERROR(IF(OR(C35="", E77=""), "", E77*IFERROR(VLOOKUP(D35,'1_MASTER_RATES'!A$9:F$12,4,FALSE),0)), "")</f>
        <v>0.15155000000000002</v>
      </c>
      <c r="L77" s="7">
        <f>IFERROR(IF(OR(C35="", F77=""), "", F77*IFERROR(VLOOKUP(D35,'1_MASTER_RATES'!A$9:F$12,4,FALSE),0)), "")</f>
        <v>0.18041666666666667</v>
      </c>
      <c r="M77" s="7">
        <f t="shared" si="5"/>
        <v>2.8866666666666652E-2</v>
      </c>
      <c r="N77" s="7">
        <f t="shared" si="6"/>
        <v>0.3270333333333334</v>
      </c>
      <c r="O77" s="7">
        <f t="shared" si="7"/>
        <v>0.3893253968253968</v>
      </c>
      <c r="P77" s="7">
        <f t="shared" si="8"/>
        <v>6.2292063492063399E-2</v>
      </c>
    </row>
    <row r="78" spans="1:16" x14ac:dyDescent="0.25">
      <c r="A78" s="6">
        <f t="shared" si="9"/>
        <v>32</v>
      </c>
      <c r="B78" s="6" t="str">
        <f t="shared" si="9"/>
        <v>3. Digital Assembly Line</v>
      </c>
      <c r="C78" s="6" t="str">
        <f t="shared" si="9"/>
        <v>Blanking-ins</v>
      </c>
      <c r="D78" s="6" t="str">
        <f t="shared" si="9"/>
        <v>WC-ASY</v>
      </c>
      <c r="E78" s="12">
        <f t="shared" si="1"/>
        <v>1.6666666666666668E-3</v>
      </c>
      <c r="F78" s="12">
        <f t="shared" si="2"/>
        <v>1.8518518518518519E-3</v>
      </c>
      <c r="G78" s="12">
        <f t="shared" si="3"/>
        <v>1.8518518518518515E-4</v>
      </c>
      <c r="H78" s="7">
        <f>IFERROR(IF(OR(C36="", E78=""), "", E78*IFERROR(VLOOKUP(D36,'1_MASTER_RATES'!A$9:F$12,3,FALSE),0)), "")</f>
        <v>0.17548333333333335</v>
      </c>
      <c r="I78" s="7">
        <f>IFERROR(IF(OR(C36="", F78=""), "", F78*IFERROR(VLOOKUP(D36,'1_MASTER_RATES'!A$9:F$12,3,FALSE),0)), "")</f>
        <v>0.19498148148148151</v>
      </c>
      <c r="J78" s="7">
        <f t="shared" si="4"/>
        <v>1.9498148148148153E-2</v>
      </c>
      <c r="K78" s="7">
        <f>IFERROR(IF(OR(C36="", E78=""), "", E78*IFERROR(VLOOKUP(D36,'1_MASTER_RATES'!A$9:F$12,4,FALSE),0)), "")</f>
        <v>0.15155000000000002</v>
      </c>
      <c r="L78" s="7">
        <f>IFERROR(IF(OR(C36="", F78=""), "", F78*IFERROR(VLOOKUP(D36,'1_MASTER_RATES'!A$9:F$12,4,FALSE),0)), "")</f>
        <v>0.16838888888888892</v>
      </c>
      <c r="M78" s="7">
        <f t="shared" si="5"/>
        <v>1.6838888888888903E-2</v>
      </c>
      <c r="N78" s="7">
        <f t="shared" si="6"/>
        <v>0.3270333333333334</v>
      </c>
      <c r="O78" s="7">
        <f t="shared" si="7"/>
        <v>0.36337037037037045</v>
      </c>
      <c r="P78" s="7">
        <f t="shared" si="8"/>
        <v>3.6337037037037057E-2</v>
      </c>
    </row>
    <row r="79" spans="1:16" x14ac:dyDescent="0.25">
      <c r="A79" s="6">
        <f t="shared" si="9"/>
        <v>33</v>
      </c>
      <c r="B79" s="6" t="str">
        <f t="shared" si="9"/>
        <v>3. Digital Assembly Line</v>
      </c>
      <c r="C79" s="6" t="str">
        <f t="shared" si="9"/>
        <v>E-ins I (Insulation)</v>
      </c>
      <c r="D79" s="6" t="str">
        <f t="shared" si="9"/>
        <v>WC-ASY</v>
      </c>
      <c r="E79" s="12">
        <f t="shared" si="1"/>
        <v>3.3333333333333335E-3</v>
      </c>
      <c r="F79" s="12">
        <f t="shared" si="2"/>
        <v>3.7037037037037038E-3</v>
      </c>
      <c r="G79" s="12">
        <f t="shared" si="3"/>
        <v>3.703703703703703E-4</v>
      </c>
      <c r="H79" s="7">
        <f>IFERROR(IF(OR(C37="", E79=""), "", E79*IFERROR(VLOOKUP(D37,'1_MASTER_RATES'!A$9:F$12,3,FALSE),0)), "")</f>
        <v>0.3509666666666667</v>
      </c>
      <c r="I79" s="7">
        <f>IFERROR(IF(OR(C37="", F79=""), "", F79*IFERROR(VLOOKUP(D37,'1_MASTER_RATES'!A$9:F$12,3,FALSE),0)), "")</f>
        <v>0.38996296296296301</v>
      </c>
      <c r="J79" s="7">
        <f t="shared" si="4"/>
        <v>3.8996296296296307E-2</v>
      </c>
      <c r="K79" s="7">
        <f>IFERROR(IF(OR(C37="", E79=""), "", E79*IFERROR(VLOOKUP(D37,'1_MASTER_RATES'!A$9:F$12,4,FALSE),0)), "")</f>
        <v>0.30310000000000004</v>
      </c>
      <c r="L79" s="7">
        <f>IFERROR(IF(OR(C37="", F79=""), "", F79*IFERROR(VLOOKUP(D37,'1_MASTER_RATES'!A$9:F$12,4,FALSE),0)), "")</f>
        <v>0.33677777777777784</v>
      </c>
      <c r="M79" s="7">
        <f t="shared" si="5"/>
        <v>3.3677777777777806E-2</v>
      </c>
      <c r="N79" s="7">
        <f t="shared" si="6"/>
        <v>0.6540666666666668</v>
      </c>
      <c r="O79" s="7">
        <f t="shared" si="7"/>
        <v>0.72674074074074091</v>
      </c>
      <c r="P79" s="7">
        <f t="shared" si="8"/>
        <v>7.2674074074074113E-2</v>
      </c>
    </row>
    <row r="80" spans="1:16" x14ac:dyDescent="0.25">
      <c r="A80" s="6">
        <f t="shared" si="9"/>
        <v>34</v>
      </c>
      <c r="B80" s="6" t="str">
        <f t="shared" si="9"/>
        <v>3. Digital Assembly Line</v>
      </c>
      <c r="C80" s="6" t="str">
        <f t="shared" si="9"/>
        <v>E-ins II (Capacitive)</v>
      </c>
      <c r="D80" s="6" t="str">
        <f t="shared" si="9"/>
        <v>WC-ASY</v>
      </c>
      <c r="E80" s="12">
        <f t="shared" si="1"/>
        <v>6.6666666666666671E-3</v>
      </c>
      <c r="F80" s="12">
        <f t="shared" si="2"/>
        <v>7.4074074074074077E-3</v>
      </c>
      <c r="G80" s="12">
        <f t="shared" si="3"/>
        <v>7.407407407407406E-4</v>
      </c>
      <c r="H80" s="7">
        <f>IFERROR(IF(OR(C38="", E80=""), "", E80*IFERROR(VLOOKUP(D38,'1_MASTER_RATES'!A$9:F$12,3,FALSE),0)), "")</f>
        <v>0.70193333333333341</v>
      </c>
      <c r="I80" s="7">
        <f>IFERROR(IF(OR(C38="", F80=""), "", F80*IFERROR(VLOOKUP(D38,'1_MASTER_RATES'!A$9:F$12,3,FALSE),0)), "")</f>
        <v>0.77992592592592602</v>
      </c>
      <c r="J80" s="7">
        <f t="shared" si="4"/>
        <v>7.7992592592592613E-2</v>
      </c>
      <c r="K80" s="7">
        <f>IFERROR(IF(OR(C38="", E80=""), "", E80*IFERROR(VLOOKUP(D38,'1_MASTER_RATES'!A$9:F$12,4,FALSE),0)), "")</f>
        <v>0.60620000000000007</v>
      </c>
      <c r="L80" s="7">
        <f>IFERROR(IF(OR(C38="", F80=""), "", F80*IFERROR(VLOOKUP(D38,'1_MASTER_RATES'!A$9:F$12,4,FALSE),0)), "")</f>
        <v>0.67355555555555569</v>
      </c>
      <c r="M80" s="7">
        <f t="shared" si="5"/>
        <v>6.7355555555555613E-2</v>
      </c>
      <c r="N80" s="7">
        <f t="shared" si="6"/>
        <v>1.3081333333333336</v>
      </c>
      <c r="O80" s="7">
        <f t="shared" si="7"/>
        <v>1.4534814814814818</v>
      </c>
      <c r="P80" s="7">
        <f t="shared" si="8"/>
        <v>0.14534814814814823</v>
      </c>
    </row>
    <row r="81" spans="1:16" x14ac:dyDescent="0.25">
      <c r="A81" s="6">
        <f t="shared" si="9"/>
        <v>35</v>
      </c>
      <c r="B81" s="6" t="str">
        <f t="shared" si="9"/>
        <v>3. Digital Assembly Line</v>
      </c>
      <c r="C81" s="6" t="str">
        <f t="shared" si="9"/>
        <v>VDO-ins II (SN code &amp; C peel off)</v>
      </c>
      <c r="D81" s="6" t="str">
        <f t="shared" si="9"/>
        <v>WC-ASY</v>
      </c>
      <c r="E81" s="12">
        <f t="shared" si="1"/>
        <v>1.6666666666666668E-3</v>
      </c>
      <c r="F81" s="12">
        <f t="shared" si="2"/>
        <v>1.8518518518518519E-3</v>
      </c>
      <c r="G81" s="12">
        <f t="shared" si="3"/>
        <v>1.8518518518518515E-4</v>
      </c>
      <c r="H81" s="7">
        <f>IFERROR(IF(OR(C39="", E81=""), "", E81*IFERROR(VLOOKUP(D39,'1_MASTER_RATES'!A$9:F$12,3,FALSE),0)), "")</f>
        <v>0.17548333333333335</v>
      </c>
      <c r="I81" s="7">
        <f>IFERROR(IF(OR(C39="", F81=""), "", F81*IFERROR(VLOOKUP(D39,'1_MASTER_RATES'!A$9:F$12,3,FALSE),0)), "")</f>
        <v>0.19498148148148151</v>
      </c>
      <c r="J81" s="7">
        <f t="shared" si="4"/>
        <v>1.9498148148148153E-2</v>
      </c>
      <c r="K81" s="7">
        <f>IFERROR(IF(OR(C39="", E81=""), "", E81*IFERROR(VLOOKUP(D39,'1_MASTER_RATES'!A$9:F$12,4,FALSE),0)), "")</f>
        <v>0.15155000000000002</v>
      </c>
      <c r="L81" s="7">
        <f>IFERROR(IF(OR(C39="", F81=""), "", F81*IFERROR(VLOOKUP(D39,'1_MASTER_RATES'!A$9:F$12,4,FALSE),0)), "")</f>
        <v>0.16838888888888892</v>
      </c>
      <c r="M81" s="7">
        <f t="shared" si="5"/>
        <v>1.6838888888888903E-2</v>
      </c>
      <c r="N81" s="7">
        <f t="shared" si="6"/>
        <v>0.3270333333333334</v>
      </c>
      <c r="O81" s="7">
        <f t="shared" si="7"/>
        <v>0.36337037037037045</v>
      </c>
      <c r="P81" s="7">
        <f t="shared" si="8"/>
        <v>3.6337037037037057E-2</v>
      </c>
    </row>
    <row r="82" spans="1:16" x14ac:dyDescent="0.25">
      <c r="A82" s="6">
        <f t="shared" si="9"/>
        <v>36</v>
      </c>
      <c r="B82" s="6" t="str">
        <f t="shared" si="9"/>
        <v>3. Digital Assembly Line</v>
      </c>
      <c r="C82" s="6" t="str">
        <f t="shared" si="9"/>
        <v>V-Ins</v>
      </c>
      <c r="D82" s="6" t="str">
        <f t="shared" si="9"/>
        <v>WC-ASY</v>
      </c>
      <c r="E82" s="12">
        <f t="shared" si="1"/>
        <v>3.3333333333333335E-3</v>
      </c>
      <c r="F82" s="12">
        <f t="shared" si="2"/>
        <v>3.7037037037037038E-3</v>
      </c>
      <c r="G82" s="12">
        <f t="shared" si="3"/>
        <v>3.703703703703703E-4</v>
      </c>
      <c r="H82" s="7">
        <f>IFERROR(IF(OR(C40="", E82=""), "", E82*IFERROR(VLOOKUP(D40,'1_MASTER_RATES'!A$9:F$12,3,FALSE),0)), "")</f>
        <v>0.3509666666666667</v>
      </c>
      <c r="I82" s="7">
        <f>IFERROR(IF(OR(C40="", F82=""), "", F82*IFERROR(VLOOKUP(D40,'1_MASTER_RATES'!A$9:F$12,3,FALSE),0)), "")</f>
        <v>0.38996296296296301</v>
      </c>
      <c r="J82" s="7">
        <f t="shared" si="4"/>
        <v>3.8996296296296307E-2</v>
      </c>
      <c r="K82" s="7">
        <f>IFERROR(IF(OR(C40="", E82=""), "", E82*IFERROR(VLOOKUP(D40,'1_MASTER_RATES'!A$9:F$12,4,FALSE),0)), "")</f>
        <v>0.30310000000000004</v>
      </c>
      <c r="L82" s="7">
        <f>IFERROR(IF(OR(C40="", F82=""), "", F82*IFERROR(VLOOKUP(D40,'1_MASTER_RATES'!A$9:F$12,4,FALSE),0)), "")</f>
        <v>0.33677777777777784</v>
      </c>
      <c r="M82" s="7">
        <f t="shared" si="5"/>
        <v>3.3677777777777806E-2</v>
      </c>
      <c r="N82" s="7">
        <f t="shared" si="6"/>
        <v>0.6540666666666668</v>
      </c>
      <c r="O82" s="7">
        <f t="shared" si="7"/>
        <v>0.72674074074074091</v>
      </c>
      <c r="P82" s="7">
        <f t="shared" si="8"/>
        <v>7.2674074074074113E-2</v>
      </c>
    </row>
    <row r="83" spans="1:16" x14ac:dyDescent="0.25">
      <c r="A83" s="6">
        <f t="shared" si="9"/>
        <v>37</v>
      </c>
      <c r="B83" s="6" t="str">
        <f t="shared" si="9"/>
        <v>4. Supporting Line</v>
      </c>
      <c r="C83" s="6" t="str">
        <f t="shared" si="9"/>
        <v>Support (Film puncher)</v>
      </c>
      <c r="D83" s="6" t="str">
        <f t="shared" si="9"/>
        <v>WC-ASY</v>
      </c>
      <c r="E83" s="12">
        <f t="shared" si="1"/>
        <v>2.0833333333333333E-3</v>
      </c>
      <c r="F83" s="12">
        <f t="shared" si="2"/>
        <v>2.0833333333333333E-3</v>
      </c>
      <c r="G83" s="12">
        <f t="shared" si="3"/>
        <v>0</v>
      </c>
      <c r="H83" s="7">
        <f>IFERROR(IF(OR(C41="", E83=""), "", E83*IFERROR(VLOOKUP(D41,'1_MASTER_RATES'!A$9:F$12,3,FALSE),0)), "")</f>
        <v>0.21935416666666668</v>
      </c>
      <c r="I83" s="7">
        <f>IFERROR(IF(OR(C41="", F83=""), "", F83*IFERROR(VLOOKUP(D41,'1_MASTER_RATES'!A$9:F$12,3,FALSE),0)), "")</f>
        <v>0.21935416666666668</v>
      </c>
      <c r="J83" s="7">
        <f t="shared" si="4"/>
        <v>0</v>
      </c>
      <c r="K83" s="7">
        <f>IFERROR(IF(OR(C41="", E83=""), "", E83*IFERROR(VLOOKUP(D41,'1_MASTER_RATES'!A$9:F$12,4,FALSE),0)), "")</f>
        <v>0.18943750000000001</v>
      </c>
      <c r="L83" s="7">
        <f>IFERROR(IF(OR(C41="", F83=""), "", F83*IFERROR(VLOOKUP(D41,'1_MASTER_RATES'!A$9:F$12,4,FALSE),0)), "")</f>
        <v>0.18943750000000001</v>
      </c>
      <c r="M83" s="7">
        <f t="shared" si="5"/>
        <v>0</v>
      </c>
      <c r="N83" s="7">
        <f t="shared" si="6"/>
        <v>0.40879166666666666</v>
      </c>
      <c r="O83" s="7">
        <f t="shared" si="7"/>
        <v>0.40879166666666666</v>
      </c>
      <c r="P83" s="7">
        <f t="shared" si="8"/>
        <v>0</v>
      </c>
    </row>
    <row r="84" spans="1:16" x14ac:dyDescent="0.25">
      <c r="A84" s="6">
        <f t="shared" si="9"/>
        <v>38</v>
      </c>
      <c r="B84" s="6" t="str">
        <f t="shared" si="9"/>
        <v>4. Supporting Line</v>
      </c>
      <c r="C84" s="6" t="str">
        <f t="shared" si="9"/>
        <v>Support (Half cut)</v>
      </c>
      <c r="D84" s="6" t="str">
        <f t="shared" si="9"/>
        <v>WC-ASY</v>
      </c>
      <c r="E84" s="12">
        <f t="shared" si="1"/>
        <v>1.0416666666666667E-4</v>
      </c>
      <c r="F84" s="12">
        <f t="shared" si="2"/>
        <v>1.0416666666666667E-4</v>
      </c>
      <c r="G84" s="12">
        <f t="shared" si="3"/>
        <v>0</v>
      </c>
      <c r="H84" s="7">
        <f>IFERROR(IF(OR(C42="", E84=""), "", E84*IFERROR(VLOOKUP(D42,'1_MASTER_RATES'!A$9:F$12,3,FALSE),0)), "")</f>
        <v>1.0967708333333335E-2</v>
      </c>
      <c r="I84" s="7">
        <f>IFERROR(IF(OR(C42="", F84=""), "", F84*IFERROR(VLOOKUP(D42,'1_MASTER_RATES'!A$9:F$12,3,FALSE),0)), "")</f>
        <v>1.0967708333333335E-2</v>
      </c>
      <c r="J84" s="7">
        <f t="shared" si="4"/>
        <v>0</v>
      </c>
      <c r="K84" s="7">
        <f>IFERROR(IF(OR(C42="", E84=""), "", E84*IFERROR(VLOOKUP(D42,'1_MASTER_RATES'!A$9:F$12,4,FALSE),0)), "")</f>
        <v>9.4718750000000011E-3</v>
      </c>
      <c r="L84" s="7">
        <f>IFERROR(IF(OR(C42="", F84=""), "", F84*IFERROR(VLOOKUP(D42,'1_MASTER_RATES'!A$9:F$12,4,FALSE),0)), "")</f>
        <v>9.4718750000000011E-3</v>
      </c>
      <c r="M84" s="7">
        <f t="shared" si="5"/>
        <v>0</v>
      </c>
      <c r="N84" s="7">
        <f t="shared" si="6"/>
        <v>2.0439583333333337E-2</v>
      </c>
      <c r="O84" s="7">
        <f t="shared" si="7"/>
        <v>2.0439583333333337E-2</v>
      </c>
      <c r="P84" s="7">
        <f t="shared" si="8"/>
        <v>0</v>
      </c>
    </row>
    <row r="85" spans="1:16" x14ac:dyDescent="0.25">
      <c r="A85" s="6">
        <f t="shared" si="9"/>
        <v>39</v>
      </c>
      <c r="B85" s="6" t="str">
        <f t="shared" si="9"/>
        <v>5. QA &amp; Packing Line</v>
      </c>
      <c r="C85" s="6" t="str">
        <f t="shared" si="9"/>
        <v>QA &amp; Packing (VDO-Ins 1/2, QA Ins, Packing carton, Leader)</v>
      </c>
      <c r="D85" s="6" t="str">
        <f t="shared" si="9"/>
        <v>WC-QAP</v>
      </c>
      <c r="E85" s="12">
        <f t="shared" si="1"/>
        <v>8.95094880057286E-3</v>
      </c>
      <c r="F85" s="12">
        <f t="shared" si="2"/>
        <v>8.95094880057286E-3</v>
      </c>
      <c r="G85" s="12">
        <f t="shared" si="3"/>
        <v>0</v>
      </c>
      <c r="H85" s="7">
        <f>IFERROR(IF(OR(C43="", E85=""), "", E85*IFERROR(VLOOKUP(D43,'1_MASTER_RATES'!A$9:F$12,3,FALSE),0)), "")</f>
        <v>0.94244539921231651</v>
      </c>
      <c r="I85" s="7">
        <f>IFERROR(IF(OR(C43="", F85=""), "", F85*IFERROR(VLOOKUP(D43,'1_MASTER_RATES'!A$9:F$12,3,FALSE),0)), "")</f>
        <v>0.94244539921231651</v>
      </c>
      <c r="J85" s="7">
        <f t="shared" si="4"/>
        <v>0</v>
      </c>
      <c r="K85" s="7">
        <f>IFERROR(IF(OR(C43="", E85=""), "", E85*IFERROR(VLOOKUP(D43,'1_MASTER_RATES'!A$9:F$12,4,FALSE),0)), "")</f>
        <v>0.74060150375939837</v>
      </c>
      <c r="L85" s="7">
        <f>IFERROR(IF(OR(C43="", F85=""), "", F85*IFERROR(VLOOKUP(D43,'1_MASTER_RATES'!A$9:F$12,4,FALSE),0)), "")</f>
        <v>0.74060150375939837</v>
      </c>
      <c r="M85" s="7">
        <f t="shared" si="5"/>
        <v>0</v>
      </c>
      <c r="N85" s="7">
        <f t="shared" si="6"/>
        <v>1.6830469029717148</v>
      </c>
      <c r="O85" s="7">
        <f t="shared" si="7"/>
        <v>1.6830469029717148</v>
      </c>
      <c r="P85" s="7">
        <f t="shared" si="8"/>
        <v>0</v>
      </c>
    </row>
    <row r="86" spans="1:16" x14ac:dyDescent="0.25">
      <c r="A86" s="8" t="s">
        <v>67</v>
      </c>
      <c r="B86" s="8" t="s">
        <v>168</v>
      </c>
      <c r="C86" s="8" t="s">
        <v>68</v>
      </c>
      <c r="D86" s="8" t="s">
        <v>68</v>
      </c>
      <c r="E86" s="8" t="s">
        <v>68</v>
      </c>
      <c r="F86" s="8" t="s">
        <v>68</v>
      </c>
      <c r="G86" s="8" t="s">
        <v>68</v>
      </c>
      <c r="H86" s="9">
        <f t="shared" ref="H86:P86" si="10">IFERROR(IF(SUM(H47:H85)=0, "", SUM(H47:H85)), "")</f>
        <v>7.1870851435315553</v>
      </c>
      <c r="I86" s="9">
        <f t="shared" si="10"/>
        <v>7.8626696280160404</v>
      </c>
      <c r="J86" s="9">
        <f t="shared" si="10"/>
        <v>0.67558448448448438</v>
      </c>
      <c r="K86" s="9">
        <f t="shared" si="10"/>
        <v>6.383372882294009</v>
      </c>
      <c r="L86" s="9">
        <f t="shared" si="10"/>
        <v>6.966817627038755</v>
      </c>
      <c r="M86" s="9">
        <f t="shared" si="10"/>
        <v>0.58344474474474473</v>
      </c>
      <c r="N86" s="9">
        <f t="shared" si="10"/>
        <v>13.570458025825564</v>
      </c>
      <c r="O86" s="9">
        <f t="shared" si="10"/>
        <v>14.829487255054795</v>
      </c>
      <c r="P86" s="9">
        <f t="shared" si="10"/>
        <v>1.2590292292292287</v>
      </c>
    </row>
  </sheetData>
  <mergeCells count="3">
    <mergeCell ref="A1:J1"/>
    <mergeCell ref="A3:J3"/>
    <mergeCell ref="A45:P45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"/>
  <sheetViews>
    <sheetView workbookViewId="0"/>
  </sheetViews>
  <sheetFormatPr defaultRowHeight="15" x14ac:dyDescent="0.25"/>
  <sheetData>
    <row r="1" spans="1:9" x14ac:dyDescent="0.25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 spans="1:9" x14ac:dyDescent="0.25">
      <c r="A2">
        <v>1</v>
      </c>
      <c r="B2" t="s">
        <v>178</v>
      </c>
      <c r="C2" t="str">
        <f t="shared" ref="C2:C11" si="0">"Direct Material"</f>
        <v>Direct Material</v>
      </c>
      <c r="D2" t="str">
        <f>IFERROR('2_BOM_BREAKDOWN'!C5,"")</f>
        <v>DOTITE XA-3645 Conductive Silver Paste Ink</v>
      </c>
      <c r="E2" t="str">
        <f>IFERROR(IF('2_BOM_BREAKDOWN'!G5&gt;'2_BOM_BREAKDOWN'!F5,"Unit Price Inflation ($"&amp;TEXT('2_BOM_BREAKDOWN'!F5,"#,##0.00")&amp;" ➔ $"&amp;TEXT('2_BOM_BREAKDOWN'!G5,"#,##0.00")&amp;")",IF('2_BOM_BREAKDOWN'!I5&gt;'2_BOM_BREAKDOWN'!H5,"Loss % Increase","Material Variance")),"")</f>
        <v>Unit Price Inflation ($150.00 ➔ $545.60)</v>
      </c>
      <c r="F2">
        <f>IFERROR('2_BOM_BREAKDOWN'!F5,"")</f>
        <v>150</v>
      </c>
      <c r="G2">
        <f>IFERROR('2_BOM_BREAKDOWN'!G5,"")</f>
        <v>545.6</v>
      </c>
      <c r="H2">
        <f>IFERROR('2_BOM_BREAKDOWN'!H18,0)</f>
        <v>1.7999800000000001</v>
      </c>
      <c r="I2">
        <f t="shared" ref="I2:I33" si="1">IFERROR(H2+(49-A2)*0.00000001, 0)</f>
        <v>1.7999804800000001</v>
      </c>
    </row>
    <row r="3" spans="1:9" x14ac:dyDescent="0.25">
      <c r="A3">
        <v>2</v>
      </c>
      <c r="B3" t="s">
        <v>178</v>
      </c>
      <c r="C3" t="str">
        <f t="shared" si="0"/>
        <v>Direct Material</v>
      </c>
      <c r="D3" t="str">
        <f>IFERROR('2_BOM_BREAKDOWN'!C6,"")</f>
        <v>FEC-4023 Carbon Resistive Paste Ink</v>
      </c>
      <c r="E3" t="str">
        <f>IFERROR(IF('2_BOM_BREAKDOWN'!G6&gt;'2_BOM_BREAKDOWN'!F6,"Unit Price Inflation ($"&amp;TEXT('2_BOM_BREAKDOWN'!F6,"#,##0.00")&amp;" ➔ $"&amp;TEXT('2_BOM_BREAKDOWN'!G6,"#,##0.00")&amp;")",IF('2_BOM_BREAKDOWN'!I6&gt;'2_BOM_BREAKDOWN'!H6,"Loss % Increase","Material Variance")),"")</f>
        <v>Material Variance</v>
      </c>
      <c r="F3">
        <f>IFERROR('2_BOM_BREAKDOWN'!F6,"")</f>
        <v>85</v>
      </c>
      <c r="G3">
        <f>IFERROR('2_BOM_BREAKDOWN'!G6,"")</f>
        <v>85</v>
      </c>
      <c r="H3">
        <f>IFERROR('2_BOM_BREAKDOWN'!H19,0)</f>
        <v>0</v>
      </c>
      <c r="I3">
        <f t="shared" si="1"/>
        <v>4.7E-7</v>
      </c>
    </row>
    <row r="4" spans="1:9" x14ac:dyDescent="0.25">
      <c r="A4">
        <v>3</v>
      </c>
      <c r="B4" t="s">
        <v>178</v>
      </c>
      <c r="C4" t="str">
        <f t="shared" si="0"/>
        <v>Direct Material</v>
      </c>
      <c r="D4" t="str">
        <f>IFERROR('2_BOM_BREAKDOWN'!C7,"")</f>
        <v>PTF-3201N UV Dielectric Insulating Paste</v>
      </c>
      <c r="E4" t="str">
        <f>IFERROR(IF('2_BOM_BREAKDOWN'!G7&gt;'2_BOM_BREAKDOWN'!F7,"Unit Price Inflation ($"&amp;TEXT('2_BOM_BREAKDOWN'!F7,"#,##0.00")&amp;" ➔ $"&amp;TEXT('2_BOM_BREAKDOWN'!G7,"#,##0.00")&amp;")",IF('2_BOM_BREAKDOWN'!I7&gt;'2_BOM_BREAKDOWN'!H7,"Loss % Increase","Material Variance")),"")</f>
        <v>Material Variance</v>
      </c>
      <c r="F4">
        <f>IFERROR('2_BOM_BREAKDOWN'!F7,"")</f>
        <v>45</v>
      </c>
      <c r="G4">
        <f>IFERROR('2_BOM_BREAKDOWN'!G7,"")</f>
        <v>45</v>
      </c>
      <c r="H4">
        <f>IFERROR('2_BOM_BREAKDOWN'!H20,0)</f>
        <v>0</v>
      </c>
      <c r="I4">
        <f t="shared" si="1"/>
        <v>4.5999999999999999E-7</v>
      </c>
    </row>
    <row r="5" spans="1:9" x14ac:dyDescent="0.25">
      <c r="A5">
        <v>4</v>
      </c>
      <c r="B5" t="s">
        <v>178</v>
      </c>
      <c r="C5" t="str">
        <f t="shared" si="0"/>
        <v>Direct Material</v>
      </c>
      <c r="D5" t="str">
        <f>IFERROR('2_BOM_BREAKDOWN'!C8,"")</f>
        <v>PET Film FPE-1100 (25um Base Film)</v>
      </c>
      <c r="E5" t="str">
        <f>IFERROR(IF('2_BOM_BREAKDOWN'!G8&gt;'2_BOM_BREAKDOWN'!F8,"Unit Price Inflation ($"&amp;TEXT('2_BOM_BREAKDOWN'!F8,"#,##0.00")&amp;" ➔ $"&amp;TEXT('2_BOM_BREAKDOWN'!G8,"#,##0.00")&amp;")",IF('2_BOM_BREAKDOWN'!I8&gt;'2_BOM_BREAKDOWN'!H8,"Loss % Increase","Material Variance")),"")</f>
        <v>Material Variance</v>
      </c>
      <c r="F5">
        <f>IFERROR('2_BOM_BREAKDOWN'!F8,"")</f>
        <v>380</v>
      </c>
      <c r="G5">
        <f>IFERROR('2_BOM_BREAKDOWN'!G8,"")</f>
        <v>380</v>
      </c>
      <c r="H5">
        <f>IFERROR('2_BOM_BREAKDOWN'!H21,0)</f>
        <v>0</v>
      </c>
      <c r="I5">
        <f t="shared" si="1"/>
        <v>4.5000000000000003E-7</v>
      </c>
    </row>
    <row r="6" spans="1:9" x14ac:dyDescent="0.25">
      <c r="A6">
        <v>5</v>
      </c>
      <c r="B6" t="s">
        <v>178</v>
      </c>
      <c r="C6" t="str">
        <f t="shared" si="0"/>
        <v>Direct Material</v>
      </c>
      <c r="D6" t="str">
        <f>IFERROR('2_BOM_BREAKDOWN'!C9,"")</f>
        <v>Front Graphic Overlay Hardcoat Film</v>
      </c>
      <c r="E6" t="str">
        <f>IFERROR(IF('2_BOM_BREAKDOWN'!G9&gt;'2_BOM_BREAKDOWN'!F9,"Unit Price Inflation ($"&amp;TEXT('2_BOM_BREAKDOWN'!F9,"#,##0.00")&amp;" ➔ $"&amp;TEXT('2_BOM_BREAKDOWN'!G9,"#,##0.00")&amp;")",IF('2_BOM_BREAKDOWN'!I9&gt;'2_BOM_BREAKDOWN'!H9,"Loss % Increase","Material Variance")),"")</f>
        <v>Material Variance</v>
      </c>
      <c r="F6">
        <f>IFERROR('2_BOM_BREAKDOWN'!F9,"")</f>
        <v>420</v>
      </c>
      <c r="G6">
        <f>IFERROR('2_BOM_BREAKDOWN'!G9,"")</f>
        <v>420</v>
      </c>
      <c r="H6">
        <f>IFERROR('2_BOM_BREAKDOWN'!H22,0)</f>
        <v>0</v>
      </c>
      <c r="I6">
        <f t="shared" si="1"/>
        <v>4.4000000000000002E-7</v>
      </c>
    </row>
    <row r="7" spans="1:9" x14ac:dyDescent="0.25">
      <c r="A7">
        <v>6</v>
      </c>
      <c r="B7" t="s">
        <v>178</v>
      </c>
      <c r="C7" t="str">
        <f t="shared" si="0"/>
        <v>Direct Material</v>
      </c>
      <c r="D7" t="str">
        <f>IFERROR('2_BOM_BREAKDOWN'!C10,"")</f>
        <v>High-Tack Acrylic Spacer Tape 3M</v>
      </c>
      <c r="E7" t="str">
        <f>IFERROR(IF('2_BOM_BREAKDOWN'!G10&gt;'2_BOM_BREAKDOWN'!F10,"Unit Price Inflation ($"&amp;TEXT('2_BOM_BREAKDOWN'!F10,"#,##0.00")&amp;" ➔ $"&amp;TEXT('2_BOM_BREAKDOWN'!G10,"#,##0.00")&amp;")",IF('2_BOM_BREAKDOWN'!I10&gt;'2_BOM_BREAKDOWN'!H10,"Loss % Increase","Material Variance")),"")</f>
        <v>Material Variance</v>
      </c>
      <c r="F7">
        <f>IFERROR('2_BOM_BREAKDOWN'!F10,"")</f>
        <v>280</v>
      </c>
      <c r="G7">
        <f>IFERROR('2_BOM_BREAKDOWN'!G10,"")</f>
        <v>280</v>
      </c>
      <c r="H7">
        <f>IFERROR('2_BOM_BREAKDOWN'!H23,0)</f>
        <v>0</v>
      </c>
      <c r="I7">
        <f t="shared" si="1"/>
        <v>4.3000000000000001E-7</v>
      </c>
    </row>
    <row r="8" spans="1:9" x14ac:dyDescent="0.25">
      <c r="A8">
        <v>7</v>
      </c>
      <c r="B8" t="s">
        <v>178</v>
      </c>
      <c r="C8" t="str">
        <f t="shared" si="0"/>
        <v>Direct Material</v>
      </c>
      <c r="D8" t="str">
        <f>IFERROR('2_BOM_BREAKDOWN'!C11,"")</f>
        <v>Conductive Anti-Static Shield Bag</v>
      </c>
      <c r="E8" t="str">
        <f>IFERROR(IF('2_BOM_BREAKDOWN'!G11&gt;'2_BOM_BREAKDOWN'!F11,"Unit Price Inflation ($"&amp;TEXT('2_BOM_BREAKDOWN'!F11,"#,##0.00")&amp;" ➔ $"&amp;TEXT('2_BOM_BREAKDOWN'!G11,"#,##0.00")&amp;")",IF('2_BOM_BREAKDOWN'!I11&gt;'2_BOM_BREAKDOWN'!H11,"Loss % Increase","Material Variance")),"")</f>
        <v>Material Variance</v>
      </c>
      <c r="F8">
        <f>IFERROR('2_BOM_BREAKDOWN'!F11,"")</f>
        <v>0.85</v>
      </c>
      <c r="G8">
        <f>IFERROR('2_BOM_BREAKDOWN'!G11,"")</f>
        <v>0.85</v>
      </c>
      <c r="H8">
        <f>IFERROR('2_BOM_BREAKDOWN'!H24,0)</f>
        <v>0</v>
      </c>
      <c r="I8">
        <f t="shared" si="1"/>
        <v>4.2E-7</v>
      </c>
    </row>
    <row r="9" spans="1:9" x14ac:dyDescent="0.25">
      <c r="A9">
        <v>8</v>
      </c>
      <c r="B9" t="s">
        <v>178</v>
      </c>
      <c r="C9" t="str">
        <f t="shared" si="0"/>
        <v>Direct Material</v>
      </c>
      <c r="D9" t="str">
        <f>IFERROR('2_BOM_BREAKDOWN'!C12,"")</f>
        <v>Silica Gel Desiccant 5g Pack</v>
      </c>
      <c r="E9" t="str">
        <f>IFERROR(IF('2_BOM_BREAKDOWN'!G12&gt;'2_BOM_BREAKDOWN'!F12,"Unit Price Inflation ($"&amp;TEXT('2_BOM_BREAKDOWN'!F12,"#,##0.00")&amp;" ➔ $"&amp;TEXT('2_BOM_BREAKDOWN'!G12,"#,##0.00")&amp;")",IF('2_BOM_BREAKDOWN'!I12&gt;'2_BOM_BREAKDOWN'!H12,"Loss % Increase","Material Variance")),"")</f>
        <v>Material Variance</v>
      </c>
      <c r="F9">
        <f>IFERROR('2_BOM_BREAKDOWN'!F12,"")</f>
        <v>0.35</v>
      </c>
      <c r="G9">
        <f>IFERROR('2_BOM_BREAKDOWN'!G12,"")</f>
        <v>0.35</v>
      </c>
      <c r="H9">
        <f>IFERROR('2_BOM_BREAKDOWN'!H25,0)</f>
        <v>0</v>
      </c>
      <c r="I9">
        <f t="shared" si="1"/>
        <v>4.0999999999999999E-7</v>
      </c>
    </row>
    <row r="10" spans="1:9" x14ac:dyDescent="0.25">
      <c r="A10">
        <v>9</v>
      </c>
      <c r="B10" t="s">
        <v>178</v>
      </c>
      <c r="C10" t="str">
        <f t="shared" si="0"/>
        <v>Direct Material</v>
      </c>
      <c r="D10" t="str">
        <f>IFERROR('2_BOM_BREAKDOWN'!C13,"")</f>
        <v>Export Corrugated Shipping Carton</v>
      </c>
      <c r="E10" t="str">
        <f>IFERROR(IF('2_BOM_BREAKDOWN'!G13&gt;'2_BOM_BREAKDOWN'!F13,"Unit Price Inflation ($"&amp;TEXT('2_BOM_BREAKDOWN'!F13,"#,##0.00")&amp;" ➔ $"&amp;TEXT('2_BOM_BREAKDOWN'!G13,"#,##0.00")&amp;")",IF('2_BOM_BREAKDOWN'!I13&gt;'2_BOM_BREAKDOWN'!H13,"Loss % Increase","Material Variance")),"")</f>
        <v>Material Variance</v>
      </c>
      <c r="F10">
        <f>IFERROR('2_BOM_BREAKDOWN'!F13,"")</f>
        <v>42</v>
      </c>
      <c r="G10">
        <f>IFERROR('2_BOM_BREAKDOWN'!G13,"")</f>
        <v>42</v>
      </c>
      <c r="H10">
        <f>IFERROR('2_BOM_BREAKDOWN'!H26,0)</f>
        <v>0</v>
      </c>
      <c r="I10">
        <f t="shared" si="1"/>
        <v>3.9999999999999998E-7</v>
      </c>
    </row>
    <row r="11" spans="1:9" x14ac:dyDescent="0.25">
      <c r="A11">
        <v>10</v>
      </c>
      <c r="B11" t="s">
        <v>178</v>
      </c>
      <c r="C11" t="str">
        <f t="shared" si="0"/>
        <v>Direct Material</v>
      </c>
      <c r="D11" t="str">
        <f>IFERROR('2_BOM_BREAKDOWN'!C14,"")</f>
        <v>Terminal Pin Connector Clip (Ag Plated)</v>
      </c>
      <c r="E11" t="str">
        <f>IFERROR(IF('2_BOM_BREAKDOWN'!G14&gt;'2_BOM_BREAKDOWN'!F14,"Unit Price Inflation ($"&amp;TEXT('2_BOM_BREAKDOWN'!F14,"#,##0.00")&amp;" ➔ $"&amp;TEXT('2_BOM_BREAKDOWN'!G14,"#,##0.00")&amp;")",IF('2_BOM_BREAKDOWN'!I14&gt;'2_BOM_BREAKDOWN'!H14,"Loss % Increase","Material Variance")),"")</f>
        <v>Material Variance</v>
      </c>
      <c r="F11">
        <f>IFERROR('2_BOM_BREAKDOWN'!F14,"")</f>
        <v>0.12</v>
      </c>
      <c r="G11">
        <f>IFERROR('2_BOM_BREAKDOWN'!G14,"")</f>
        <v>0.12</v>
      </c>
      <c r="H11">
        <f>IFERROR('2_BOM_BREAKDOWN'!H27,0)</f>
        <v>0</v>
      </c>
      <c r="I11">
        <f t="shared" si="1"/>
        <v>3.9000000000000002E-7</v>
      </c>
    </row>
    <row r="12" spans="1:9" x14ac:dyDescent="0.25">
      <c r="A12">
        <v>11</v>
      </c>
      <c r="B12" t="s">
        <v>179</v>
      </c>
      <c r="C12" t="str">
        <f>IFERROR('3_ROUTING_BREAKDOWN'!B5,"")</f>
        <v>1. PRINTING Line</v>
      </c>
      <c r="D12" t="str">
        <f>IFERROR('3_ROUTING_BREAKDOWN'!C5,"")</f>
        <v>Cutting</v>
      </c>
      <c r="E12" t="str">
        <f>IFERROR(IF('3_ROUTING_BREAKDOWN'!I5&lt;'3_ROUTING_BREAKDOWN'!H5,"Yield Drop ("&amp;TEXT('3_ROUTING_BREAKDOWN'!H5,"0.0%")&amp;" ➔ "&amp;TEXT('3_ROUTING_BREAKDOWN'!I5,"0.0%")&amp;")",IF('3_ROUTING_BREAKDOWN'!G5&lt;'3_ROUTING_BREAKDOWN'!F5,"Capacity Drop","Process Variance")),"")</f>
        <v>Process Variance</v>
      </c>
      <c r="F12">
        <f>IFERROR(IF('3_ROUTING_BREAKDOWN'!I5&lt;'3_ROUTING_BREAKDOWN'!H5,'3_ROUTING_BREAKDOWN'!H5,'3_ROUTING_BREAKDOWN'!F5),"")</f>
        <v>6180</v>
      </c>
      <c r="G12">
        <f>IFERROR(IF('3_ROUTING_BREAKDOWN'!I5&lt;'3_ROUTING_BREAKDOWN'!H5,'3_ROUTING_BREAKDOWN'!I5,'3_ROUTING_BREAKDOWN'!G5),"")</f>
        <v>6180</v>
      </c>
      <c r="H12">
        <f>IFERROR('3_ROUTING_BREAKDOWN'!P47,0)</f>
        <v>0</v>
      </c>
      <c r="I12">
        <f t="shared" si="1"/>
        <v>3.8000000000000001E-7</v>
      </c>
    </row>
    <row r="13" spans="1:9" x14ac:dyDescent="0.25">
      <c r="A13">
        <v>12</v>
      </c>
      <c r="B13" t="s">
        <v>179</v>
      </c>
      <c r="C13" t="str">
        <f>IFERROR('3_ROUTING_BREAKDOWN'!B6,"")</f>
        <v>1. PRINTING Line</v>
      </c>
      <c r="D13" t="str">
        <f>IFERROR('3_ROUTING_BREAKDOWN'!C6,"")</f>
        <v>Annealing</v>
      </c>
      <c r="E13" t="str">
        <f>IFERROR(IF('3_ROUTING_BREAKDOWN'!I6&lt;'3_ROUTING_BREAKDOWN'!H6,"Yield Drop ("&amp;TEXT('3_ROUTING_BREAKDOWN'!H6,"0.0%")&amp;" ➔ "&amp;TEXT('3_ROUTING_BREAKDOWN'!I6,"0.0%")&amp;")",IF('3_ROUTING_BREAKDOWN'!G6&lt;'3_ROUTING_BREAKDOWN'!F6,"Capacity Drop","Process Variance")),"")</f>
        <v>Process Variance</v>
      </c>
      <c r="F13">
        <f>IFERROR(IF('3_ROUTING_BREAKDOWN'!I6&lt;'3_ROUTING_BREAKDOWN'!H6,'3_ROUTING_BREAKDOWN'!H6,'3_ROUTING_BREAKDOWN'!F6),"")</f>
        <v>2520</v>
      </c>
      <c r="G13">
        <f>IFERROR(IF('3_ROUTING_BREAKDOWN'!I6&lt;'3_ROUTING_BREAKDOWN'!H6,'3_ROUTING_BREAKDOWN'!I6,'3_ROUTING_BREAKDOWN'!G6),"")</f>
        <v>2520</v>
      </c>
      <c r="H13">
        <f>IFERROR('3_ROUTING_BREAKDOWN'!P48,0)</f>
        <v>0</v>
      </c>
      <c r="I13">
        <f t="shared" si="1"/>
        <v>3.7E-7</v>
      </c>
    </row>
    <row r="14" spans="1:9" x14ac:dyDescent="0.25">
      <c r="A14">
        <v>13</v>
      </c>
      <c r="B14" t="s">
        <v>179</v>
      </c>
      <c r="C14" t="str">
        <f>IFERROR('3_ROUTING_BREAKDOWN'!B7,"")</f>
        <v>1. PRINTING Line</v>
      </c>
      <c r="D14" t="str">
        <f>IFERROR('3_ROUTING_BREAKDOWN'!C7,"")</f>
        <v>Re-anneal#1</v>
      </c>
      <c r="E14" t="str">
        <f>IFERROR(IF('3_ROUTING_BREAKDOWN'!I7&lt;'3_ROUTING_BREAKDOWN'!H7,"Yield Drop ("&amp;TEXT('3_ROUTING_BREAKDOWN'!H7,"0.0%")&amp;" ➔ "&amp;TEXT('3_ROUTING_BREAKDOWN'!I7,"0.0%")&amp;")",IF('3_ROUTING_BREAKDOWN'!G7&lt;'3_ROUTING_BREAKDOWN'!F7,"Capacity Drop","Process Variance")),"")</f>
        <v>Process Variance</v>
      </c>
      <c r="F14">
        <f>IFERROR(IF('3_ROUTING_BREAKDOWN'!I7&lt;'3_ROUTING_BREAKDOWN'!H7,'3_ROUTING_BREAKDOWN'!H7,'3_ROUTING_BREAKDOWN'!F7),"")</f>
        <v>2340</v>
      </c>
      <c r="G14">
        <f>IFERROR(IF('3_ROUTING_BREAKDOWN'!I7&lt;'3_ROUTING_BREAKDOWN'!H7,'3_ROUTING_BREAKDOWN'!I7,'3_ROUTING_BREAKDOWN'!G7),"")</f>
        <v>2340</v>
      </c>
      <c r="H14">
        <f>IFERROR('3_ROUTING_BREAKDOWN'!P49,0)</f>
        <v>0</v>
      </c>
      <c r="I14">
        <f t="shared" si="1"/>
        <v>3.5999999999999999E-7</v>
      </c>
    </row>
    <row r="15" spans="1:9" x14ac:dyDescent="0.25">
      <c r="A15">
        <v>14</v>
      </c>
      <c r="B15" t="s">
        <v>179</v>
      </c>
      <c r="C15" t="str">
        <f>IFERROR('3_ROUTING_BREAKDOWN'!B8,"")</f>
        <v>1. PRINTING Line</v>
      </c>
      <c r="D15" t="str">
        <f>IFERROR('3_ROUTING_BREAKDOWN'!C8,"")</f>
        <v>Cleaning M/C(Back side)</v>
      </c>
      <c r="E15" t="str">
        <f>IFERROR(IF('3_ROUTING_BREAKDOWN'!I8&lt;'3_ROUTING_BREAKDOWN'!H8,"Yield Drop ("&amp;TEXT('3_ROUTING_BREAKDOWN'!H8,"0.0%")&amp;" ➔ "&amp;TEXT('3_ROUTING_BREAKDOWN'!I8,"0.0%")&amp;")",IF('3_ROUTING_BREAKDOWN'!G8&lt;'3_ROUTING_BREAKDOWN'!F8,"Capacity Drop","Process Variance")),"")</f>
        <v>Process Variance</v>
      </c>
      <c r="F15">
        <f>IFERROR(IF('3_ROUTING_BREAKDOWN'!I8&lt;'3_ROUTING_BREAKDOWN'!H8,'3_ROUTING_BREAKDOWN'!H8,'3_ROUTING_BREAKDOWN'!F8),"")</f>
        <v>6900</v>
      </c>
      <c r="G15">
        <f>IFERROR(IF('3_ROUTING_BREAKDOWN'!I8&lt;'3_ROUTING_BREAKDOWN'!H8,'3_ROUTING_BREAKDOWN'!I8,'3_ROUTING_BREAKDOWN'!G8),"")</f>
        <v>6900</v>
      </c>
      <c r="H15">
        <f>IFERROR('3_ROUTING_BREAKDOWN'!P50,0)</f>
        <v>0</v>
      </c>
      <c r="I15">
        <f t="shared" si="1"/>
        <v>3.4999999999999998E-7</v>
      </c>
    </row>
    <row r="16" spans="1:9" x14ac:dyDescent="0.25">
      <c r="A16">
        <v>15</v>
      </c>
      <c r="B16" t="s">
        <v>179</v>
      </c>
      <c r="C16" t="str">
        <f>IFERROR('3_ROUTING_BREAKDOWN'!B9,"")</f>
        <v>1. PRINTING Line</v>
      </c>
      <c r="D16" t="str">
        <f>IFERROR('3_ROUTING_BREAKDOWN'!C9,"")</f>
        <v>Printing-BAg</v>
      </c>
      <c r="E16" t="str">
        <f>IFERROR(IF('3_ROUTING_BREAKDOWN'!I9&lt;'3_ROUTING_BREAKDOWN'!H9,"Yield Drop ("&amp;TEXT('3_ROUTING_BREAKDOWN'!H9,"0.0%")&amp;" ➔ "&amp;TEXT('3_ROUTING_BREAKDOWN'!I9,"0.0%")&amp;")",IF('3_ROUTING_BREAKDOWN'!G9&lt;'3_ROUTING_BREAKDOWN'!F9,"Capacity Drop","Process Variance")),"")</f>
        <v>Process Variance</v>
      </c>
      <c r="F16">
        <f>IFERROR(IF('3_ROUTING_BREAKDOWN'!I9&lt;'3_ROUTING_BREAKDOWN'!H9,'3_ROUTING_BREAKDOWN'!H9,'3_ROUTING_BREAKDOWN'!F9),"")</f>
        <v>1884</v>
      </c>
      <c r="G16">
        <f>IFERROR(IF('3_ROUTING_BREAKDOWN'!I9&lt;'3_ROUTING_BREAKDOWN'!H9,'3_ROUTING_BREAKDOWN'!I9,'3_ROUTING_BREAKDOWN'!G9),"")</f>
        <v>1884</v>
      </c>
      <c r="H16">
        <f>IFERROR('3_ROUTING_BREAKDOWN'!P51,0)</f>
        <v>0</v>
      </c>
      <c r="I16">
        <f t="shared" si="1"/>
        <v>3.4000000000000003E-7</v>
      </c>
    </row>
    <row r="17" spans="1:9" x14ac:dyDescent="0.25">
      <c r="A17">
        <v>16</v>
      </c>
      <c r="B17" t="s">
        <v>179</v>
      </c>
      <c r="C17" t="str">
        <f>IFERROR('3_ROUTING_BREAKDOWN'!B10,"")</f>
        <v>1. PRINTING Line</v>
      </c>
      <c r="D17" t="str">
        <f>IFERROR('3_ROUTING_BREAKDOWN'!C10,"")</f>
        <v>Cleaning M/C(Back side)</v>
      </c>
      <c r="E17" t="str">
        <f>IFERROR(IF('3_ROUTING_BREAKDOWN'!I10&lt;'3_ROUTING_BREAKDOWN'!H10,"Yield Drop ("&amp;TEXT('3_ROUTING_BREAKDOWN'!H10,"0.0%")&amp;" ➔ "&amp;TEXT('3_ROUTING_BREAKDOWN'!I10,"0.0%")&amp;")",IF('3_ROUTING_BREAKDOWN'!G10&lt;'3_ROUTING_BREAKDOWN'!F10,"Capacity Drop","Process Variance")),"")</f>
        <v>Process Variance</v>
      </c>
      <c r="F17">
        <f>IFERROR(IF('3_ROUTING_BREAKDOWN'!I10&lt;'3_ROUTING_BREAKDOWN'!H10,'3_ROUTING_BREAKDOWN'!H10,'3_ROUTING_BREAKDOWN'!F10),"")</f>
        <v>6900</v>
      </c>
      <c r="G17">
        <f>IFERROR(IF('3_ROUTING_BREAKDOWN'!I10&lt;'3_ROUTING_BREAKDOWN'!H10,'3_ROUTING_BREAKDOWN'!I10,'3_ROUTING_BREAKDOWN'!G10),"")</f>
        <v>6900</v>
      </c>
      <c r="H17">
        <f>IFERROR('3_ROUTING_BREAKDOWN'!P52,0)</f>
        <v>0</v>
      </c>
      <c r="I17">
        <f t="shared" si="1"/>
        <v>3.3000000000000002E-7</v>
      </c>
    </row>
    <row r="18" spans="1:9" x14ac:dyDescent="0.25">
      <c r="A18">
        <v>17</v>
      </c>
      <c r="B18" t="s">
        <v>179</v>
      </c>
      <c r="C18" t="str">
        <f>IFERROR('3_ROUTING_BREAKDOWN'!B11,"")</f>
        <v>1. PRINTING Line</v>
      </c>
      <c r="D18" t="str">
        <f>IFERROR('3_ROUTING_BREAKDOWN'!C11,"")</f>
        <v>Printing-BC</v>
      </c>
      <c r="E18" t="str">
        <f>IFERROR(IF('3_ROUTING_BREAKDOWN'!I11&lt;'3_ROUTING_BREAKDOWN'!H11,"Yield Drop ("&amp;TEXT('3_ROUTING_BREAKDOWN'!H11,"0.0%")&amp;" ➔ "&amp;TEXT('3_ROUTING_BREAKDOWN'!I11,"0.0%")&amp;")",IF('3_ROUTING_BREAKDOWN'!G11&lt;'3_ROUTING_BREAKDOWN'!F11,"Capacity Drop","Process Variance")),"")</f>
        <v>Process Variance</v>
      </c>
      <c r="F18">
        <f>IFERROR(IF('3_ROUTING_BREAKDOWN'!I11&lt;'3_ROUTING_BREAKDOWN'!H11,'3_ROUTING_BREAKDOWN'!H11,'3_ROUTING_BREAKDOWN'!F11),"")</f>
        <v>1944</v>
      </c>
      <c r="G18">
        <f>IFERROR(IF('3_ROUTING_BREAKDOWN'!I11&lt;'3_ROUTING_BREAKDOWN'!H11,'3_ROUTING_BREAKDOWN'!I11,'3_ROUTING_BREAKDOWN'!G11),"")</f>
        <v>1944</v>
      </c>
      <c r="H18">
        <f>IFERROR('3_ROUTING_BREAKDOWN'!P53,0)</f>
        <v>0</v>
      </c>
      <c r="I18">
        <f t="shared" si="1"/>
        <v>3.2000000000000001E-7</v>
      </c>
    </row>
    <row r="19" spans="1:9" x14ac:dyDescent="0.25">
      <c r="A19">
        <v>18</v>
      </c>
      <c r="B19" t="s">
        <v>179</v>
      </c>
      <c r="C19" t="str">
        <f>IFERROR('3_ROUTING_BREAKDOWN'!B12,"")</f>
        <v>1. PRINTING Line</v>
      </c>
      <c r="D19" t="str">
        <f>IFERROR('3_ROUTING_BREAKDOWN'!C12,"")</f>
        <v>Cleaning M/C(Back side)</v>
      </c>
      <c r="E19" t="str">
        <f>IFERROR(IF('3_ROUTING_BREAKDOWN'!I12&lt;'3_ROUTING_BREAKDOWN'!H12,"Yield Drop ("&amp;TEXT('3_ROUTING_BREAKDOWN'!H12,"0.0%")&amp;" ➔ "&amp;TEXT('3_ROUTING_BREAKDOWN'!I12,"0.0%")&amp;")",IF('3_ROUTING_BREAKDOWN'!G12&lt;'3_ROUTING_BREAKDOWN'!F12,"Capacity Drop","Process Variance")),"")</f>
        <v>Process Variance</v>
      </c>
      <c r="F19">
        <f>IFERROR(IF('3_ROUTING_BREAKDOWN'!I12&lt;'3_ROUTING_BREAKDOWN'!H12,'3_ROUTING_BREAKDOWN'!H12,'3_ROUTING_BREAKDOWN'!F12),"")</f>
        <v>6900</v>
      </c>
      <c r="G19">
        <f>IFERROR(IF('3_ROUTING_BREAKDOWN'!I12&lt;'3_ROUTING_BREAKDOWN'!H12,'3_ROUTING_BREAKDOWN'!I12,'3_ROUTING_BREAKDOWN'!G12),"")</f>
        <v>6900</v>
      </c>
      <c r="H19">
        <f>IFERROR('3_ROUTING_BREAKDOWN'!P54,0)</f>
        <v>0</v>
      </c>
      <c r="I19">
        <f t="shared" si="1"/>
        <v>3.1E-7</v>
      </c>
    </row>
    <row r="20" spans="1:9" x14ac:dyDescent="0.25">
      <c r="A20">
        <v>19</v>
      </c>
      <c r="B20" t="s">
        <v>179</v>
      </c>
      <c r="C20" t="str">
        <f>IFERROR('3_ROUTING_BREAKDOWN'!B13,"")</f>
        <v>1. PRINTING Line</v>
      </c>
      <c r="D20" t="str">
        <f>IFERROR('3_ROUTING_BREAKDOWN'!C13,"")</f>
        <v>Printing-BUR1</v>
      </c>
      <c r="E20" t="str">
        <f>IFERROR(IF('3_ROUTING_BREAKDOWN'!I13&lt;'3_ROUTING_BREAKDOWN'!H13,"Yield Drop ("&amp;TEXT('3_ROUTING_BREAKDOWN'!H13,"0.0%")&amp;" ➔ "&amp;TEXT('3_ROUTING_BREAKDOWN'!I13,"0.0%")&amp;")",IF('3_ROUTING_BREAKDOWN'!G13&lt;'3_ROUTING_BREAKDOWN'!F13,"Capacity Drop","Process Variance")),"")</f>
        <v>Process Variance</v>
      </c>
      <c r="F20">
        <f>IFERROR(IF('3_ROUTING_BREAKDOWN'!I13&lt;'3_ROUTING_BREAKDOWN'!H13,'3_ROUTING_BREAKDOWN'!H13,'3_ROUTING_BREAKDOWN'!F13),"")</f>
        <v>1836</v>
      </c>
      <c r="G20">
        <f>IFERROR(IF('3_ROUTING_BREAKDOWN'!I13&lt;'3_ROUTING_BREAKDOWN'!H13,'3_ROUTING_BREAKDOWN'!I13,'3_ROUTING_BREAKDOWN'!G13),"")</f>
        <v>1836</v>
      </c>
      <c r="H20">
        <f>IFERROR('3_ROUTING_BREAKDOWN'!P55,0)</f>
        <v>0</v>
      </c>
      <c r="I20">
        <f t="shared" si="1"/>
        <v>2.9999999999999999E-7</v>
      </c>
    </row>
    <row r="21" spans="1:9" x14ac:dyDescent="0.25">
      <c r="A21">
        <v>20</v>
      </c>
      <c r="B21" t="s">
        <v>179</v>
      </c>
      <c r="C21" t="str">
        <f>IFERROR('3_ROUTING_BREAKDOWN'!B14,"")</f>
        <v>1. PRINTING Line</v>
      </c>
      <c r="D21" t="str">
        <f>IFERROR('3_ROUTING_BREAKDOWN'!C14,"")</f>
        <v>Cleaning M/C(Back side)</v>
      </c>
      <c r="E21" t="str">
        <f>IFERROR(IF('3_ROUTING_BREAKDOWN'!I14&lt;'3_ROUTING_BREAKDOWN'!H14,"Yield Drop ("&amp;TEXT('3_ROUTING_BREAKDOWN'!H14,"0.0%")&amp;" ➔ "&amp;TEXT('3_ROUTING_BREAKDOWN'!I14,"0.0%")&amp;")",IF('3_ROUTING_BREAKDOWN'!G14&lt;'3_ROUTING_BREAKDOWN'!F14,"Capacity Drop","Process Variance")),"")</f>
        <v>Process Variance</v>
      </c>
      <c r="F21">
        <f>IFERROR(IF('3_ROUTING_BREAKDOWN'!I14&lt;'3_ROUTING_BREAKDOWN'!H14,'3_ROUTING_BREAKDOWN'!H14,'3_ROUTING_BREAKDOWN'!F14),"")</f>
        <v>6900</v>
      </c>
      <c r="G21">
        <f>IFERROR(IF('3_ROUTING_BREAKDOWN'!I14&lt;'3_ROUTING_BREAKDOWN'!H14,'3_ROUTING_BREAKDOWN'!I14,'3_ROUTING_BREAKDOWN'!G14),"")</f>
        <v>6900</v>
      </c>
      <c r="H21">
        <f>IFERROR('3_ROUTING_BREAKDOWN'!P56,0)</f>
        <v>0</v>
      </c>
      <c r="I21">
        <f t="shared" si="1"/>
        <v>2.9000000000000003E-7</v>
      </c>
    </row>
    <row r="22" spans="1:9" x14ac:dyDescent="0.25">
      <c r="A22">
        <v>21</v>
      </c>
      <c r="B22" t="s">
        <v>179</v>
      </c>
      <c r="C22" t="str">
        <f>IFERROR('3_ROUTING_BREAKDOWN'!B15,"")</f>
        <v>1. PRINTING Line</v>
      </c>
      <c r="D22" t="str">
        <f>IFERROR('3_ROUTING_BREAKDOWN'!C15,"")</f>
        <v>Printing-BUR2</v>
      </c>
      <c r="E22" t="str">
        <f>IFERROR(IF('3_ROUTING_BREAKDOWN'!I15&lt;'3_ROUTING_BREAKDOWN'!H15,"Yield Drop ("&amp;TEXT('3_ROUTING_BREAKDOWN'!H15,"0.0%")&amp;" ➔ "&amp;TEXT('3_ROUTING_BREAKDOWN'!I15,"0.0%")&amp;")",IF('3_ROUTING_BREAKDOWN'!G15&lt;'3_ROUTING_BREAKDOWN'!F15,"Capacity Drop","Process Variance")),"")</f>
        <v>Process Variance</v>
      </c>
      <c r="F22">
        <f>IFERROR(IF('3_ROUTING_BREAKDOWN'!I15&lt;'3_ROUTING_BREAKDOWN'!H15,'3_ROUTING_BREAKDOWN'!H15,'3_ROUTING_BREAKDOWN'!F15),"")</f>
        <v>2004</v>
      </c>
      <c r="G22">
        <f>IFERROR(IF('3_ROUTING_BREAKDOWN'!I15&lt;'3_ROUTING_BREAKDOWN'!H15,'3_ROUTING_BREAKDOWN'!I15,'3_ROUTING_BREAKDOWN'!G15),"")</f>
        <v>2004</v>
      </c>
      <c r="H22">
        <f>IFERROR('3_ROUTING_BREAKDOWN'!P57,0)</f>
        <v>0</v>
      </c>
      <c r="I22">
        <f t="shared" si="1"/>
        <v>2.8000000000000002E-7</v>
      </c>
    </row>
    <row r="23" spans="1:9" x14ac:dyDescent="0.25">
      <c r="A23">
        <v>22</v>
      </c>
      <c r="B23" t="s">
        <v>179</v>
      </c>
      <c r="C23" t="str">
        <f>IFERROR('3_ROUTING_BREAKDOWN'!B16,"")</f>
        <v>1. PRINTING Line</v>
      </c>
      <c r="D23" t="str">
        <f>IFERROR('3_ROUTING_BREAKDOWN'!C16,"")</f>
        <v>Cleaning M/C(Back side)</v>
      </c>
      <c r="E23" t="str">
        <f>IFERROR(IF('3_ROUTING_BREAKDOWN'!I16&lt;'3_ROUTING_BREAKDOWN'!H16,"Yield Drop ("&amp;TEXT('3_ROUTING_BREAKDOWN'!H16,"0.0%")&amp;" ➔ "&amp;TEXT('3_ROUTING_BREAKDOWN'!I16,"0.0%")&amp;")",IF('3_ROUTING_BREAKDOWN'!G16&lt;'3_ROUTING_BREAKDOWN'!F16,"Capacity Drop","Process Variance")),"")</f>
        <v>Process Variance</v>
      </c>
      <c r="F23">
        <f>IFERROR(IF('3_ROUTING_BREAKDOWN'!I16&lt;'3_ROUTING_BREAKDOWN'!H16,'3_ROUTING_BREAKDOWN'!H16,'3_ROUTING_BREAKDOWN'!F16),"")</f>
        <v>6900</v>
      </c>
      <c r="G23">
        <f>IFERROR(IF('3_ROUTING_BREAKDOWN'!I16&lt;'3_ROUTING_BREAKDOWN'!H16,'3_ROUTING_BREAKDOWN'!I16,'3_ROUTING_BREAKDOWN'!G16),"")</f>
        <v>6900</v>
      </c>
      <c r="H23">
        <f>IFERROR('3_ROUTING_BREAKDOWN'!P58,0)</f>
        <v>0</v>
      </c>
      <c r="I23">
        <f t="shared" si="1"/>
        <v>2.7000000000000001E-7</v>
      </c>
    </row>
    <row r="24" spans="1:9" x14ac:dyDescent="0.25">
      <c r="A24">
        <v>23</v>
      </c>
      <c r="B24" t="s">
        <v>179</v>
      </c>
      <c r="C24" t="str">
        <f>IFERROR('3_ROUTING_BREAKDOWN'!B17,"")</f>
        <v>1. PRINTING Line</v>
      </c>
      <c r="D24" t="str">
        <f>IFERROR('3_ROUTING_BREAKDOWN'!C17,"")</f>
        <v>Re-anneal#2</v>
      </c>
      <c r="E24" t="str">
        <f>IFERROR(IF('3_ROUTING_BREAKDOWN'!I17&lt;'3_ROUTING_BREAKDOWN'!H17,"Yield Drop ("&amp;TEXT('3_ROUTING_BREAKDOWN'!H17,"0.0%")&amp;" ➔ "&amp;TEXT('3_ROUTING_BREAKDOWN'!I17,"0.0%")&amp;")",IF('3_ROUTING_BREAKDOWN'!G17&lt;'3_ROUTING_BREAKDOWN'!F17,"Capacity Drop","Process Variance")),"")</f>
        <v>Process Variance</v>
      </c>
      <c r="F24">
        <f>IFERROR(IF('3_ROUTING_BREAKDOWN'!I17&lt;'3_ROUTING_BREAKDOWN'!H17,'3_ROUTING_BREAKDOWN'!H17,'3_ROUTING_BREAKDOWN'!F17),"")</f>
        <v>3420</v>
      </c>
      <c r="G24">
        <f>IFERROR(IF('3_ROUTING_BREAKDOWN'!I17&lt;'3_ROUTING_BREAKDOWN'!H17,'3_ROUTING_BREAKDOWN'!I17,'3_ROUTING_BREAKDOWN'!G17),"")</f>
        <v>3420</v>
      </c>
      <c r="H24">
        <f>IFERROR('3_ROUTING_BREAKDOWN'!P59,0)</f>
        <v>0</v>
      </c>
      <c r="I24">
        <f t="shared" si="1"/>
        <v>2.6E-7</v>
      </c>
    </row>
    <row r="25" spans="1:9" x14ac:dyDescent="0.25">
      <c r="A25">
        <v>24</v>
      </c>
      <c r="B25" t="s">
        <v>179</v>
      </c>
      <c r="C25" t="str">
        <f>IFERROR('3_ROUTING_BREAKDOWN'!B18,"")</f>
        <v>1. PRINTING Line</v>
      </c>
      <c r="D25" t="str">
        <f>IFERROR('3_ROUTING_BREAKDOWN'!C18,"")</f>
        <v>Cleaning M/C(Back side)</v>
      </c>
      <c r="E25" t="str">
        <f>IFERROR(IF('3_ROUTING_BREAKDOWN'!I18&lt;'3_ROUTING_BREAKDOWN'!H18,"Yield Drop ("&amp;TEXT('3_ROUTING_BREAKDOWN'!H18,"0.0%")&amp;" ➔ "&amp;TEXT('3_ROUTING_BREAKDOWN'!I18,"0.0%")&amp;")",IF('3_ROUTING_BREAKDOWN'!G18&lt;'3_ROUTING_BREAKDOWN'!F18,"Capacity Drop","Process Variance")),"")</f>
        <v>Process Variance</v>
      </c>
      <c r="F25">
        <f>IFERROR(IF('3_ROUTING_BREAKDOWN'!I18&lt;'3_ROUTING_BREAKDOWN'!H18,'3_ROUTING_BREAKDOWN'!H18,'3_ROUTING_BREAKDOWN'!F18),"")</f>
        <v>6900</v>
      </c>
      <c r="G25">
        <f>IFERROR(IF('3_ROUTING_BREAKDOWN'!I18&lt;'3_ROUTING_BREAKDOWN'!H18,'3_ROUTING_BREAKDOWN'!I18,'3_ROUTING_BREAKDOWN'!G18),"")</f>
        <v>6900</v>
      </c>
      <c r="H25">
        <f>IFERROR('3_ROUTING_BREAKDOWN'!P60,0)</f>
        <v>0</v>
      </c>
      <c r="I25">
        <f t="shared" si="1"/>
        <v>2.4999999999999999E-7</v>
      </c>
    </row>
    <row r="26" spans="1:9" x14ac:dyDescent="0.25">
      <c r="A26">
        <v>25</v>
      </c>
      <c r="B26" t="s">
        <v>179</v>
      </c>
      <c r="C26" t="str">
        <f>IFERROR('3_ROUTING_BREAKDOWN'!B19,"")</f>
        <v>1. PRINTING Line</v>
      </c>
      <c r="D26" t="str">
        <f>IFERROR('3_ROUTING_BREAKDOWN'!C19,"")</f>
        <v>Printing-BAg.J</v>
      </c>
      <c r="E26" t="str">
        <f>IFERROR(IF('3_ROUTING_BREAKDOWN'!I19&lt;'3_ROUTING_BREAKDOWN'!H19,"Yield Drop ("&amp;TEXT('3_ROUTING_BREAKDOWN'!H19,"0.0%")&amp;" ➔ "&amp;TEXT('3_ROUTING_BREAKDOWN'!I19,"0.0%")&amp;")",IF('3_ROUTING_BREAKDOWN'!G19&lt;'3_ROUTING_BREAKDOWN'!F19,"Capacity Drop","Process Variance")),"")</f>
        <v>Process Variance</v>
      </c>
      <c r="F26">
        <f>IFERROR(IF('3_ROUTING_BREAKDOWN'!I19&lt;'3_ROUTING_BREAKDOWN'!H19,'3_ROUTING_BREAKDOWN'!H19,'3_ROUTING_BREAKDOWN'!F19),"")</f>
        <v>1572</v>
      </c>
      <c r="G26">
        <f>IFERROR(IF('3_ROUTING_BREAKDOWN'!I19&lt;'3_ROUTING_BREAKDOWN'!H19,'3_ROUTING_BREAKDOWN'!I19,'3_ROUTING_BREAKDOWN'!G19),"")</f>
        <v>1572</v>
      </c>
      <c r="H26">
        <f>IFERROR('3_ROUTING_BREAKDOWN'!P61,0)</f>
        <v>0</v>
      </c>
      <c r="I26">
        <f t="shared" si="1"/>
        <v>2.4000000000000003E-7</v>
      </c>
    </row>
    <row r="27" spans="1:9" x14ac:dyDescent="0.25">
      <c r="A27">
        <v>26</v>
      </c>
      <c r="B27" t="s">
        <v>179</v>
      </c>
      <c r="C27" t="str">
        <f>IFERROR('3_ROUTING_BREAKDOWN'!B20,"")</f>
        <v>1. PRINTING Line</v>
      </c>
      <c r="D27" t="str">
        <f>IFERROR('3_ROUTING_BREAKDOWN'!C20,"")</f>
        <v>Cleaning M/C(Back side)</v>
      </c>
      <c r="E27" t="str">
        <f>IFERROR(IF('3_ROUTING_BREAKDOWN'!I20&lt;'3_ROUTING_BREAKDOWN'!H20,"Yield Drop ("&amp;TEXT('3_ROUTING_BREAKDOWN'!H20,"0.0%")&amp;" ➔ "&amp;TEXT('3_ROUTING_BREAKDOWN'!I20,"0.0%")&amp;")",IF('3_ROUTING_BREAKDOWN'!G20&lt;'3_ROUTING_BREAKDOWN'!F20,"Capacity Drop","Process Variance")),"")</f>
        <v>Process Variance</v>
      </c>
      <c r="F27">
        <f>IFERROR(IF('3_ROUTING_BREAKDOWN'!I20&lt;'3_ROUTING_BREAKDOWN'!H20,'3_ROUTING_BREAKDOWN'!H20,'3_ROUTING_BREAKDOWN'!F20),"")</f>
        <v>6900</v>
      </c>
      <c r="G27">
        <f>IFERROR(IF('3_ROUTING_BREAKDOWN'!I20&lt;'3_ROUTING_BREAKDOWN'!H20,'3_ROUTING_BREAKDOWN'!I20,'3_ROUTING_BREAKDOWN'!G20),"")</f>
        <v>6900</v>
      </c>
      <c r="H27">
        <f>IFERROR('3_ROUTING_BREAKDOWN'!P62,0)</f>
        <v>0</v>
      </c>
      <c r="I27">
        <f t="shared" si="1"/>
        <v>2.2999999999999999E-7</v>
      </c>
    </row>
    <row r="28" spans="1:9" x14ac:dyDescent="0.25">
      <c r="A28">
        <v>27</v>
      </c>
      <c r="B28" t="s">
        <v>179</v>
      </c>
      <c r="C28" t="str">
        <f>IFERROR('3_ROUTING_BREAKDOWN'!B21,"")</f>
        <v>1. PRINTING Line</v>
      </c>
      <c r="D28" t="str">
        <f>IFERROR('3_ROUTING_BREAKDOWN'!C21,"")</f>
        <v>Printing-BOR</v>
      </c>
      <c r="E28" t="str">
        <f>IFERROR(IF('3_ROUTING_BREAKDOWN'!I21&lt;'3_ROUTING_BREAKDOWN'!H21,"Yield Drop ("&amp;TEXT('3_ROUTING_BREAKDOWN'!H21,"0.0%")&amp;" ➔ "&amp;TEXT('3_ROUTING_BREAKDOWN'!I21,"0.0%")&amp;")",IF('3_ROUTING_BREAKDOWN'!G21&lt;'3_ROUTING_BREAKDOWN'!F21,"Capacity Drop","Process Variance")),"")</f>
        <v>Process Variance</v>
      </c>
      <c r="F28">
        <f>IFERROR(IF('3_ROUTING_BREAKDOWN'!I21&lt;'3_ROUTING_BREAKDOWN'!H21,'3_ROUTING_BREAKDOWN'!H21,'3_ROUTING_BREAKDOWN'!F21),"")</f>
        <v>2040</v>
      </c>
      <c r="G28">
        <f>IFERROR(IF('3_ROUTING_BREAKDOWN'!I21&lt;'3_ROUTING_BREAKDOWN'!H21,'3_ROUTING_BREAKDOWN'!I21,'3_ROUTING_BREAKDOWN'!G21),"")</f>
        <v>2040</v>
      </c>
      <c r="H28">
        <f>IFERROR('3_ROUTING_BREAKDOWN'!P63,0)</f>
        <v>0</v>
      </c>
      <c r="I28">
        <f t="shared" si="1"/>
        <v>2.2000000000000001E-7</v>
      </c>
    </row>
    <row r="29" spans="1:9" x14ac:dyDescent="0.25">
      <c r="A29">
        <v>28</v>
      </c>
      <c r="B29" t="s">
        <v>179</v>
      </c>
      <c r="C29" t="str">
        <f>IFERROR('3_ROUTING_BREAKDOWN'!B22,"")</f>
        <v>1. PRINTING Line</v>
      </c>
      <c r="D29" t="str">
        <f>IFERROR('3_ROUTING_BREAKDOWN'!C22,"")</f>
        <v>Cleaning M/C(Back side)</v>
      </c>
      <c r="E29" t="str">
        <f>IFERROR(IF('3_ROUTING_BREAKDOWN'!I22&lt;'3_ROUTING_BREAKDOWN'!H22,"Yield Drop ("&amp;TEXT('3_ROUTING_BREAKDOWN'!H22,"0.0%")&amp;" ➔ "&amp;TEXT('3_ROUTING_BREAKDOWN'!I22,"0.0%")&amp;")",IF('3_ROUTING_BREAKDOWN'!G22&lt;'3_ROUTING_BREAKDOWN'!F22,"Capacity Drop","Process Variance")),"")</f>
        <v>Process Variance</v>
      </c>
      <c r="F29">
        <f>IFERROR(IF('3_ROUTING_BREAKDOWN'!I22&lt;'3_ROUTING_BREAKDOWN'!H22,'3_ROUTING_BREAKDOWN'!H22,'3_ROUTING_BREAKDOWN'!F22),"")</f>
        <v>6900</v>
      </c>
      <c r="G29">
        <f>IFERROR(IF('3_ROUTING_BREAKDOWN'!I22&lt;'3_ROUTING_BREAKDOWN'!H22,'3_ROUTING_BREAKDOWN'!I22,'3_ROUTING_BREAKDOWN'!G22),"")</f>
        <v>6900</v>
      </c>
      <c r="H29">
        <f>IFERROR('3_ROUTING_BREAKDOWN'!P64,0)</f>
        <v>0</v>
      </c>
      <c r="I29">
        <f t="shared" si="1"/>
        <v>2.1E-7</v>
      </c>
    </row>
    <row r="30" spans="1:9" x14ac:dyDescent="0.25">
      <c r="A30">
        <v>29</v>
      </c>
      <c r="B30" t="s">
        <v>179</v>
      </c>
      <c r="C30" t="str">
        <f>IFERROR('3_ROUTING_BREAKDOWN'!B23,"")</f>
        <v>1. PRINTING Line</v>
      </c>
      <c r="D30" t="str">
        <f>IFERROR('3_ROUTING_BREAKDOWN'!C23,"")</f>
        <v>Re-anneal#3</v>
      </c>
      <c r="E30" t="str">
        <f>IFERROR(IF('3_ROUTING_BREAKDOWN'!I23&lt;'3_ROUTING_BREAKDOWN'!H23,"Yield Drop ("&amp;TEXT('3_ROUTING_BREAKDOWN'!H23,"0.0%")&amp;" ➔ "&amp;TEXT('3_ROUTING_BREAKDOWN'!I23,"0.0%")&amp;")",IF('3_ROUTING_BREAKDOWN'!G23&lt;'3_ROUTING_BREAKDOWN'!F23,"Capacity Drop","Process Variance")),"")</f>
        <v>Process Variance</v>
      </c>
      <c r="F30">
        <f>IFERROR(IF('3_ROUTING_BREAKDOWN'!I23&lt;'3_ROUTING_BREAKDOWN'!H23,'3_ROUTING_BREAKDOWN'!H23,'3_ROUTING_BREAKDOWN'!F23),"")</f>
        <v>3420</v>
      </c>
      <c r="G30">
        <f>IFERROR(IF('3_ROUTING_BREAKDOWN'!I23&lt;'3_ROUTING_BREAKDOWN'!H23,'3_ROUTING_BREAKDOWN'!I23,'3_ROUTING_BREAKDOWN'!G23),"")</f>
        <v>3420</v>
      </c>
      <c r="H30">
        <f>IFERROR('3_ROUTING_BREAKDOWN'!P65,0)</f>
        <v>0</v>
      </c>
      <c r="I30">
        <f t="shared" si="1"/>
        <v>1.9999999999999999E-7</v>
      </c>
    </row>
    <row r="31" spans="1:9" x14ac:dyDescent="0.25">
      <c r="A31">
        <v>30</v>
      </c>
      <c r="B31" t="s">
        <v>179</v>
      </c>
      <c r="C31" t="str">
        <f>IFERROR('3_ROUTING_BREAKDOWN'!B24,"")</f>
        <v>1. PRINTING Line</v>
      </c>
      <c r="D31" t="str">
        <f>IFERROR('3_ROUTING_BREAKDOWN'!C24,"")</f>
        <v>Cleaning M/C(Back side)</v>
      </c>
      <c r="E31" t="str">
        <f>IFERROR(IF('3_ROUTING_BREAKDOWN'!I24&lt;'3_ROUTING_BREAKDOWN'!H24,"Yield Drop ("&amp;TEXT('3_ROUTING_BREAKDOWN'!H24,"0.0%")&amp;" ➔ "&amp;TEXT('3_ROUTING_BREAKDOWN'!I24,"0.0%")&amp;")",IF('3_ROUTING_BREAKDOWN'!G24&lt;'3_ROUTING_BREAKDOWN'!F24,"Capacity Drop","Process Variance")),"")</f>
        <v>Process Variance</v>
      </c>
      <c r="F31">
        <f>IFERROR(IF('3_ROUTING_BREAKDOWN'!I24&lt;'3_ROUTING_BREAKDOWN'!H24,'3_ROUTING_BREAKDOWN'!H24,'3_ROUTING_BREAKDOWN'!F24),"")</f>
        <v>6900</v>
      </c>
      <c r="G31">
        <f>IFERROR(IF('3_ROUTING_BREAKDOWN'!I24&lt;'3_ROUTING_BREAKDOWN'!H24,'3_ROUTING_BREAKDOWN'!I24,'3_ROUTING_BREAKDOWN'!G24),"")</f>
        <v>6900</v>
      </c>
      <c r="H31">
        <f>IFERROR('3_ROUTING_BREAKDOWN'!P66,0)</f>
        <v>0</v>
      </c>
      <c r="I31">
        <f t="shared" si="1"/>
        <v>1.9000000000000001E-7</v>
      </c>
    </row>
    <row r="32" spans="1:9" x14ac:dyDescent="0.25">
      <c r="A32">
        <v>31</v>
      </c>
      <c r="B32" t="s">
        <v>179</v>
      </c>
      <c r="C32" t="str">
        <f>IFERROR('3_ROUTING_BREAKDOWN'!B25,"")</f>
        <v>1. PRINTING Line</v>
      </c>
      <c r="D32" t="str">
        <f>IFERROR('3_ROUTING_BREAKDOWN'!C25,"")</f>
        <v>Laminate Carrier film</v>
      </c>
      <c r="E32" t="str">
        <f>IFERROR(IF('3_ROUTING_BREAKDOWN'!I25&lt;'3_ROUTING_BREAKDOWN'!H25,"Yield Drop ("&amp;TEXT('3_ROUTING_BREAKDOWN'!H25,"0.0%")&amp;" ➔ "&amp;TEXT('3_ROUTING_BREAKDOWN'!I25,"0.0%")&amp;")",IF('3_ROUTING_BREAKDOWN'!G25&lt;'3_ROUTING_BREAKDOWN'!F25,"Capacity Drop","Process Variance")),"")</f>
        <v>Process Variance</v>
      </c>
      <c r="F32">
        <f>IFERROR(IF('3_ROUTING_BREAKDOWN'!I25&lt;'3_ROUTING_BREAKDOWN'!H25,'3_ROUTING_BREAKDOWN'!H25,'3_ROUTING_BREAKDOWN'!F25),"")</f>
        <v>2640</v>
      </c>
      <c r="G32">
        <f>IFERROR(IF('3_ROUTING_BREAKDOWN'!I25&lt;'3_ROUTING_BREAKDOWN'!H25,'3_ROUTING_BREAKDOWN'!I25,'3_ROUTING_BREAKDOWN'!G25),"")</f>
        <v>2640</v>
      </c>
      <c r="H32">
        <f>IFERROR('3_ROUTING_BREAKDOWN'!P67,0)</f>
        <v>0</v>
      </c>
      <c r="I32">
        <f t="shared" si="1"/>
        <v>1.8E-7</v>
      </c>
    </row>
    <row r="33" spans="1:9" x14ac:dyDescent="0.25">
      <c r="A33">
        <v>32</v>
      </c>
      <c r="B33" t="s">
        <v>179</v>
      </c>
      <c r="C33" t="str">
        <f>IFERROR('3_ROUTING_BREAKDOWN'!B26,"")</f>
        <v>1. PRINTING Line</v>
      </c>
      <c r="D33" t="str">
        <f>IFERROR('3_ROUTING_BREAKDOWN'!C26,"")</f>
        <v>Re-anneal#4</v>
      </c>
      <c r="E33" t="str">
        <f>IFERROR(IF('3_ROUTING_BREAKDOWN'!I26&lt;'3_ROUTING_BREAKDOWN'!H26,"Yield Drop ("&amp;TEXT('3_ROUTING_BREAKDOWN'!H26,"0.0%")&amp;" ➔ "&amp;TEXT('3_ROUTING_BREAKDOWN'!I26,"0.0%")&amp;")",IF('3_ROUTING_BREAKDOWN'!G26&lt;'3_ROUTING_BREAKDOWN'!F26,"Capacity Drop","Process Variance")),"")</f>
        <v>Process Variance</v>
      </c>
      <c r="F33">
        <f>IFERROR(IF('3_ROUTING_BREAKDOWN'!I26&lt;'3_ROUTING_BREAKDOWN'!H26,'3_ROUTING_BREAKDOWN'!H26,'3_ROUTING_BREAKDOWN'!F26),"")</f>
        <v>5040</v>
      </c>
      <c r="G33">
        <f>IFERROR(IF('3_ROUTING_BREAKDOWN'!I26&lt;'3_ROUTING_BREAKDOWN'!H26,'3_ROUTING_BREAKDOWN'!I26,'3_ROUTING_BREAKDOWN'!G26),"")</f>
        <v>5040</v>
      </c>
      <c r="H33">
        <f>IFERROR('3_ROUTING_BREAKDOWN'!P68,0)</f>
        <v>0</v>
      </c>
      <c r="I33">
        <f t="shared" si="1"/>
        <v>1.7000000000000001E-7</v>
      </c>
    </row>
    <row r="34" spans="1:9" x14ac:dyDescent="0.25">
      <c r="A34">
        <v>33</v>
      </c>
      <c r="B34" t="s">
        <v>179</v>
      </c>
      <c r="C34" t="str">
        <f>IFERROR('3_ROUTING_BREAKDOWN'!B27,"")</f>
        <v>2. Material Prep &amp; Cutting</v>
      </c>
      <c r="D34" t="str">
        <f>IFERROR('3_ROUTING_BREAKDOWN'!C27,"")</f>
        <v>PET support: Cutting</v>
      </c>
      <c r="E34" t="str">
        <f>IFERROR(IF('3_ROUTING_BREAKDOWN'!I27&lt;'3_ROUTING_BREAKDOWN'!H27,"Yield Drop ("&amp;TEXT('3_ROUTING_BREAKDOWN'!H27,"0.0%")&amp;" ➔ "&amp;TEXT('3_ROUTING_BREAKDOWN'!I27,"0.0%")&amp;")",IF('3_ROUTING_BREAKDOWN'!G27&lt;'3_ROUTING_BREAKDOWN'!F27,"Capacity Drop","Process Variance")),"")</f>
        <v>Process Variance</v>
      </c>
      <c r="F34">
        <f>IFERROR(IF('3_ROUTING_BREAKDOWN'!I27&lt;'3_ROUTING_BREAKDOWN'!H27,'3_ROUTING_BREAKDOWN'!H27,'3_ROUTING_BREAKDOWN'!F27),"")</f>
        <v>14400</v>
      </c>
      <c r="G34">
        <f>IFERROR(IF('3_ROUTING_BREAKDOWN'!I27&lt;'3_ROUTING_BREAKDOWN'!H27,'3_ROUTING_BREAKDOWN'!I27,'3_ROUTING_BREAKDOWN'!G27),"")</f>
        <v>14400</v>
      </c>
      <c r="H34">
        <f>IFERROR('3_ROUTING_BREAKDOWN'!P69,0)</f>
        <v>0</v>
      </c>
      <c r="I34">
        <f t="shared" ref="I34:I65" si="2">IFERROR(H34+(49-A34)*0.00000001, 0)</f>
        <v>1.6E-7</v>
      </c>
    </row>
    <row r="35" spans="1:9" x14ac:dyDescent="0.25">
      <c r="A35">
        <v>34</v>
      </c>
      <c r="B35" t="s">
        <v>179</v>
      </c>
      <c r="C35" t="str">
        <f>IFERROR('3_ROUTING_BREAKDOWN'!B28,"")</f>
        <v>2. Material Prep &amp; Cutting</v>
      </c>
      <c r="D35" t="str">
        <f>IFERROR('3_ROUTING_BREAKDOWN'!C28,"")</f>
        <v>Packing sheet: Cutting</v>
      </c>
      <c r="E35" t="str">
        <f>IFERROR(IF('3_ROUTING_BREAKDOWN'!I28&lt;'3_ROUTING_BREAKDOWN'!H28,"Yield Drop ("&amp;TEXT('3_ROUTING_BREAKDOWN'!H28,"0.0%")&amp;" ➔ "&amp;TEXT('3_ROUTING_BREAKDOWN'!I28,"0.0%")&amp;")",IF('3_ROUTING_BREAKDOWN'!G28&lt;'3_ROUTING_BREAKDOWN'!F28,"Capacity Drop","Process Variance")),"")</f>
        <v>Process Variance</v>
      </c>
      <c r="F35">
        <f>IFERROR(IF('3_ROUTING_BREAKDOWN'!I28&lt;'3_ROUTING_BREAKDOWN'!H28,'3_ROUTING_BREAKDOWN'!H28,'3_ROUTING_BREAKDOWN'!F28),"")</f>
        <v>11200</v>
      </c>
      <c r="G35">
        <f>IFERROR(IF('3_ROUTING_BREAKDOWN'!I28&lt;'3_ROUTING_BREAKDOWN'!H28,'3_ROUTING_BREAKDOWN'!I28,'3_ROUTING_BREAKDOWN'!G28),"")</f>
        <v>11200</v>
      </c>
      <c r="H35">
        <f>IFERROR('3_ROUTING_BREAKDOWN'!P70,0)</f>
        <v>0</v>
      </c>
      <c r="I35">
        <f t="shared" si="2"/>
        <v>1.4999999999999999E-7</v>
      </c>
    </row>
    <row r="36" spans="1:9" x14ac:dyDescent="0.25">
      <c r="A36">
        <v>35</v>
      </c>
      <c r="B36" t="s">
        <v>179</v>
      </c>
      <c r="C36" t="str">
        <f>IFERROR('3_ROUTING_BREAKDOWN'!B29,"")</f>
        <v>2. Material Prep &amp; Cutting</v>
      </c>
      <c r="D36" t="str">
        <f>IFERROR('3_ROUTING_BREAKDOWN'!C29,"")</f>
        <v>Packing sheet: Half cut</v>
      </c>
      <c r="E36" t="str">
        <f>IFERROR(IF('3_ROUTING_BREAKDOWN'!I29&lt;'3_ROUTING_BREAKDOWN'!H29,"Yield Drop ("&amp;TEXT('3_ROUTING_BREAKDOWN'!H29,"0.0%")&amp;" ➔ "&amp;TEXT('3_ROUTING_BREAKDOWN'!I29,"0.0%")&amp;")",IF('3_ROUTING_BREAKDOWN'!G29&lt;'3_ROUTING_BREAKDOWN'!F29,"Capacity Drop","Process Variance")),"")</f>
        <v>Process Variance</v>
      </c>
      <c r="F36">
        <f>IFERROR(IF('3_ROUTING_BREAKDOWN'!I29&lt;'3_ROUTING_BREAKDOWN'!H29,'3_ROUTING_BREAKDOWN'!H29,'3_ROUTING_BREAKDOWN'!F29),"")</f>
        <v>4800</v>
      </c>
      <c r="G36">
        <f>IFERROR(IF('3_ROUTING_BREAKDOWN'!I29&lt;'3_ROUTING_BREAKDOWN'!H29,'3_ROUTING_BREAKDOWN'!I29,'3_ROUTING_BREAKDOWN'!G29),"")</f>
        <v>4800</v>
      </c>
      <c r="H36">
        <f>IFERROR('3_ROUTING_BREAKDOWN'!P71,0)</f>
        <v>0</v>
      </c>
      <c r="I36">
        <f t="shared" si="2"/>
        <v>1.4000000000000001E-7</v>
      </c>
    </row>
    <row r="37" spans="1:9" x14ac:dyDescent="0.25">
      <c r="A37">
        <v>36</v>
      </c>
      <c r="B37" t="s">
        <v>179</v>
      </c>
      <c r="C37" t="str">
        <f>IFERROR('3_ROUTING_BREAKDOWN'!B30,"")</f>
        <v>2. Material Prep &amp; Cutting</v>
      </c>
      <c r="D37" t="str">
        <f>IFERROR('3_ROUTING_BREAKDOWN'!C30,"")</f>
        <v>Packing sheet: Blanking</v>
      </c>
      <c r="E37" t="str">
        <f>IFERROR(IF('3_ROUTING_BREAKDOWN'!I30&lt;'3_ROUTING_BREAKDOWN'!H30,"Yield Drop ("&amp;TEXT('3_ROUTING_BREAKDOWN'!H30,"0.0%")&amp;" ➔ "&amp;TEXT('3_ROUTING_BREAKDOWN'!I30,"0.0%")&amp;")",IF('3_ROUTING_BREAKDOWN'!G30&lt;'3_ROUTING_BREAKDOWN'!F30,"Capacity Drop","Process Variance")),"")</f>
        <v>Process Variance</v>
      </c>
      <c r="F37">
        <f>IFERROR(IF('3_ROUTING_BREAKDOWN'!I30&lt;'3_ROUTING_BREAKDOWN'!H30,'3_ROUTING_BREAKDOWN'!H30,'3_ROUTING_BREAKDOWN'!F30),"")</f>
        <v>1894</v>
      </c>
      <c r="G37">
        <f>IFERROR(IF('3_ROUTING_BREAKDOWN'!I30&lt;'3_ROUTING_BREAKDOWN'!H30,'3_ROUTING_BREAKDOWN'!I30,'3_ROUTING_BREAKDOWN'!G30),"")</f>
        <v>1894</v>
      </c>
      <c r="H37">
        <f>IFERROR('3_ROUTING_BREAKDOWN'!P72,0)</f>
        <v>0</v>
      </c>
      <c r="I37">
        <f t="shared" si="2"/>
        <v>1.3E-7</v>
      </c>
    </row>
    <row r="38" spans="1:9" x14ac:dyDescent="0.25">
      <c r="A38">
        <v>37</v>
      </c>
      <c r="B38" t="s">
        <v>179</v>
      </c>
      <c r="C38" t="str">
        <f>IFERROR('3_ROUTING_BREAKDOWN'!B31,"")</f>
        <v>2. Material Prep &amp; Cutting</v>
      </c>
      <c r="D38" t="str">
        <f>IFERROR('3_ROUTING_BREAKDOWN'!C31,"")</f>
        <v>Carrier Film: Cutting</v>
      </c>
      <c r="E38" t="str">
        <f>IFERROR(IF('3_ROUTING_BREAKDOWN'!I31&lt;'3_ROUTING_BREAKDOWN'!H31,"Yield Drop ("&amp;TEXT('3_ROUTING_BREAKDOWN'!H31,"0.0%")&amp;" ➔ "&amp;TEXT('3_ROUTING_BREAKDOWN'!I31,"0.0%")&amp;")",IF('3_ROUTING_BREAKDOWN'!G31&lt;'3_ROUTING_BREAKDOWN'!F31,"Capacity Drop","Process Variance")),"")</f>
        <v>Process Variance</v>
      </c>
      <c r="F38">
        <f>IFERROR(IF('3_ROUTING_BREAKDOWN'!I31&lt;'3_ROUTING_BREAKDOWN'!H31,'3_ROUTING_BREAKDOWN'!H31,'3_ROUTING_BREAKDOWN'!F31),"")</f>
        <v>8400</v>
      </c>
      <c r="G38">
        <f>IFERROR(IF('3_ROUTING_BREAKDOWN'!I31&lt;'3_ROUTING_BREAKDOWN'!H31,'3_ROUTING_BREAKDOWN'!I31,'3_ROUTING_BREAKDOWN'!G31),"")</f>
        <v>8400</v>
      </c>
      <c r="H38">
        <f>IFERROR('3_ROUTING_BREAKDOWN'!P73,0)</f>
        <v>0</v>
      </c>
      <c r="I38">
        <f t="shared" si="2"/>
        <v>1.2000000000000002E-7</v>
      </c>
    </row>
    <row r="39" spans="1:9" x14ac:dyDescent="0.25">
      <c r="A39">
        <v>38</v>
      </c>
      <c r="B39" t="s">
        <v>179</v>
      </c>
      <c r="C39" t="str">
        <f>IFERROR('3_ROUTING_BREAKDOWN'!B32,"")</f>
        <v>3. Digital Assembly Line</v>
      </c>
      <c r="D39" t="str">
        <f>IFERROR('3_ROUTING_BREAKDOWN'!C32,"")</f>
        <v>AI-Ins</v>
      </c>
      <c r="E39" t="str">
        <f>IFERROR(IF('3_ROUTING_BREAKDOWN'!I32&lt;'3_ROUTING_BREAKDOWN'!H32,"Yield Drop ("&amp;TEXT('3_ROUTING_BREAKDOWN'!H32,"0.0%")&amp;" ➔ "&amp;TEXT('3_ROUTING_BREAKDOWN'!I32,"0.0%")&amp;")",IF('3_ROUTING_BREAKDOWN'!G32&lt;'3_ROUTING_BREAKDOWN'!F32,"Capacity Drop","Process Variance")),"")</f>
        <v>Yield Drop (100.0% ➔ 74.0%)</v>
      </c>
      <c r="F39">
        <f>IFERROR(IF('3_ROUTING_BREAKDOWN'!I32&lt;'3_ROUTING_BREAKDOWN'!H32,'3_ROUTING_BREAKDOWN'!H32,'3_ROUTING_BREAKDOWN'!F32),"")</f>
        <v>1</v>
      </c>
      <c r="G39">
        <f>IFERROR(IF('3_ROUTING_BREAKDOWN'!I32&lt;'3_ROUTING_BREAKDOWN'!H32,'3_ROUTING_BREAKDOWN'!I32,'3_ROUTING_BREAKDOWN'!G32),"")</f>
        <v>0.74</v>
      </c>
      <c r="H39">
        <f>IFERROR('3_ROUTING_BREAKDOWN'!P74,0)</f>
        <v>0.45961441441441431</v>
      </c>
      <c r="I39">
        <f t="shared" si="2"/>
        <v>0.4596145244144143</v>
      </c>
    </row>
    <row r="40" spans="1:9" x14ac:dyDescent="0.25">
      <c r="A40">
        <v>39</v>
      </c>
      <c r="B40" t="s">
        <v>179</v>
      </c>
      <c r="C40" t="str">
        <f>IFERROR('3_ROUTING_BREAKDOWN'!B33,"")</f>
        <v>3. Digital Assembly Line</v>
      </c>
      <c r="D40" t="str">
        <f>IFERROR('3_ROUTING_BREAKDOWN'!C33,"")</f>
        <v>P-ins</v>
      </c>
      <c r="E40" t="str">
        <f>IFERROR(IF('3_ROUTING_BREAKDOWN'!I33&lt;'3_ROUTING_BREAKDOWN'!H33,"Yield Drop ("&amp;TEXT('3_ROUTING_BREAKDOWN'!H33,"0.0%")&amp;" ➔ "&amp;TEXT('3_ROUTING_BREAKDOWN'!I33,"0.0%")&amp;")",IF('3_ROUTING_BREAKDOWN'!G33&lt;'3_ROUTING_BREAKDOWN'!F33,"Capacity Drop","Process Variance")),"")</f>
        <v>Yield Drop (100.0% ➔ 84.0%)</v>
      </c>
      <c r="F40">
        <f>IFERROR(IF('3_ROUTING_BREAKDOWN'!I33&lt;'3_ROUTING_BREAKDOWN'!H33,'3_ROUTING_BREAKDOWN'!H33,'3_ROUTING_BREAKDOWN'!F33),"")</f>
        <v>1</v>
      </c>
      <c r="G40">
        <f>IFERROR(IF('3_ROUTING_BREAKDOWN'!I33&lt;'3_ROUTING_BREAKDOWN'!H33,'3_ROUTING_BREAKDOWN'!I33,'3_ROUTING_BREAKDOWN'!G33),"")</f>
        <v>0.84</v>
      </c>
      <c r="H40">
        <f>IFERROR('3_ROUTING_BREAKDOWN'!P75,0)</f>
        <v>0.1245841269841268</v>
      </c>
      <c r="I40">
        <f t="shared" si="2"/>
        <v>0.1245842269841268</v>
      </c>
    </row>
    <row r="41" spans="1:9" x14ac:dyDescent="0.25">
      <c r="A41">
        <v>40</v>
      </c>
      <c r="B41" t="s">
        <v>179</v>
      </c>
      <c r="C41" t="str">
        <f>IFERROR('3_ROUTING_BREAKDOWN'!B34,"")</f>
        <v>3. Digital Assembly Line</v>
      </c>
      <c r="D41" t="str">
        <f>IFERROR('3_ROUTING_BREAKDOWN'!C34,"")</f>
        <v>VDO-ins I</v>
      </c>
      <c r="E41" t="str">
        <f>IFERROR(IF('3_ROUTING_BREAKDOWN'!I34&lt;'3_ROUTING_BREAKDOWN'!H34,"Yield Drop ("&amp;TEXT('3_ROUTING_BREAKDOWN'!H34,"0.0%")&amp;" ➔ "&amp;TEXT('3_ROUTING_BREAKDOWN'!I34,"0.0%")&amp;")",IF('3_ROUTING_BREAKDOWN'!G34&lt;'3_ROUTING_BREAKDOWN'!F34,"Capacity Drop","Process Variance")),"")</f>
        <v>Yield Drop (100.0% ➔ 84.0%)</v>
      </c>
      <c r="F41">
        <f>IFERROR(IF('3_ROUTING_BREAKDOWN'!I34&lt;'3_ROUTING_BREAKDOWN'!H34,'3_ROUTING_BREAKDOWN'!H34,'3_ROUTING_BREAKDOWN'!F34),"")</f>
        <v>1</v>
      </c>
      <c r="G41">
        <f>IFERROR(IF('3_ROUTING_BREAKDOWN'!I34&lt;'3_ROUTING_BREAKDOWN'!H34,'3_ROUTING_BREAKDOWN'!I34,'3_ROUTING_BREAKDOWN'!G34),"")</f>
        <v>0.84</v>
      </c>
      <c r="H41">
        <f>IFERROR('3_ROUTING_BREAKDOWN'!P76,0)</f>
        <v>0.24916825396825359</v>
      </c>
      <c r="I41">
        <f t="shared" si="2"/>
        <v>0.2491683439682536</v>
      </c>
    </row>
    <row r="42" spans="1:9" x14ac:dyDescent="0.25">
      <c r="A42">
        <v>41</v>
      </c>
      <c r="B42" t="s">
        <v>179</v>
      </c>
      <c r="C42" t="str">
        <f>IFERROR('3_ROUTING_BREAKDOWN'!B35,"")</f>
        <v>3. Digital Assembly Line</v>
      </c>
      <c r="D42" t="str">
        <f>IFERROR('3_ROUTING_BREAKDOWN'!C35,"")</f>
        <v>Outline Blanking</v>
      </c>
      <c r="E42" t="str">
        <f>IFERROR(IF('3_ROUTING_BREAKDOWN'!I35&lt;'3_ROUTING_BREAKDOWN'!H35,"Yield Drop ("&amp;TEXT('3_ROUTING_BREAKDOWN'!H35,"0.0%")&amp;" ➔ "&amp;TEXT('3_ROUTING_BREAKDOWN'!I35,"0.0%")&amp;")",IF('3_ROUTING_BREAKDOWN'!G35&lt;'3_ROUTING_BREAKDOWN'!F35,"Capacity Drop","Process Variance")),"")</f>
        <v>Yield Drop (100.0% ➔ 84.0%)</v>
      </c>
      <c r="F42">
        <f>IFERROR(IF('3_ROUTING_BREAKDOWN'!I35&lt;'3_ROUTING_BREAKDOWN'!H35,'3_ROUTING_BREAKDOWN'!H35,'3_ROUTING_BREAKDOWN'!F35),"")</f>
        <v>1</v>
      </c>
      <c r="G42">
        <f>IFERROR(IF('3_ROUTING_BREAKDOWN'!I35&lt;'3_ROUTING_BREAKDOWN'!H35,'3_ROUTING_BREAKDOWN'!I35,'3_ROUTING_BREAKDOWN'!G35),"")</f>
        <v>0.84</v>
      </c>
      <c r="H42">
        <f>IFERROR('3_ROUTING_BREAKDOWN'!P77,0)</f>
        <v>6.2292063492063399E-2</v>
      </c>
      <c r="I42">
        <f t="shared" si="2"/>
        <v>6.2292143492063398E-2</v>
      </c>
    </row>
    <row r="43" spans="1:9" x14ac:dyDescent="0.25">
      <c r="A43">
        <v>42</v>
      </c>
      <c r="B43" t="s">
        <v>179</v>
      </c>
      <c r="C43" t="str">
        <f>IFERROR('3_ROUTING_BREAKDOWN'!B36,"")</f>
        <v>3. Digital Assembly Line</v>
      </c>
      <c r="D43" t="str">
        <f>IFERROR('3_ROUTING_BREAKDOWN'!C36,"")</f>
        <v>Blanking-ins</v>
      </c>
      <c r="E43" t="str">
        <f>IFERROR(IF('3_ROUTING_BREAKDOWN'!I36&lt;'3_ROUTING_BREAKDOWN'!H36,"Yield Drop ("&amp;TEXT('3_ROUTING_BREAKDOWN'!H36,"0.0%")&amp;" ➔ "&amp;TEXT('3_ROUTING_BREAKDOWN'!I36,"0.0%")&amp;")",IF('3_ROUTING_BREAKDOWN'!G36&lt;'3_ROUTING_BREAKDOWN'!F36,"Capacity Drop","Process Variance")),"")</f>
        <v>Yield Drop (100.0% ➔ 90.0%)</v>
      </c>
      <c r="F43">
        <f>IFERROR(IF('3_ROUTING_BREAKDOWN'!I36&lt;'3_ROUTING_BREAKDOWN'!H36,'3_ROUTING_BREAKDOWN'!H36,'3_ROUTING_BREAKDOWN'!F36),"")</f>
        <v>1</v>
      </c>
      <c r="G43">
        <f>IFERROR(IF('3_ROUTING_BREAKDOWN'!I36&lt;'3_ROUTING_BREAKDOWN'!H36,'3_ROUTING_BREAKDOWN'!I36,'3_ROUTING_BREAKDOWN'!G36),"")</f>
        <v>0.9</v>
      </c>
      <c r="H43">
        <f>IFERROR('3_ROUTING_BREAKDOWN'!P78,0)</f>
        <v>3.6337037037037057E-2</v>
      </c>
      <c r="I43">
        <f t="shared" si="2"/>
        <v>3.6337107037037054E-2</v>
      </c>
    </row>
    <row r="44" spans="1:9" x14ac:dyDescent="0.25">
      <c r="A44">
        <v>43</v>
      </c>
      <c r="B44" t="s">
        <v>179</v>
      </c>
      <c r="C44" t="str">
        <f>IFERROR('3_ROUTING_BREAKDOWN'!B37,"")</f>
        <v>3. Digital Assembly Line</v>
      </c>
      <c r="D44" t="str">
        <f>IFERROR('3_ROUTING_BREAKDOWN'!C37,"")</f>
        <v>E-ins I (Insulation)</v>
      </c>
      <c r="E44" t="str">
        <f>IFERROR(IF('3_ROUTING_BREAKDOWN'!I37&lt;'3_ROUTING_BREAKDOWN'!H37,"Yield Drop ("&amp;TEXT('3_ROUTING_BREAKDOWN'!H37,"0.0%")&amp;" ➔ "&amp;TEXT('3_ROUTING_BREAKDOWN'!I37,"0.0%")&amp;")",IF('3_ROUTING_BREAKDOWN'!G37&lt;'3_ROUTING_BREAKDOWN'!F37,"Capacity Drop","Process Variance")),"")</f>
        <v>Yield Drop (100.0% ➔ 90.0%)</v>
      </c>
      <c r="F44">
        <f>IFERROR(IF('3_ROUTING_BREAKDOWN'!I37&lt;'3_ROUTING_BREAKDOWN'!H37,'3_ROUTING_BREAKDOWN'!H37,'3_ROUTING_BREAKDOWN'!F37),"")</f>
        <v>1</v>
      </c>
      <c r="G44">
        <f>IFERROR(IF('3_ROUTING_BREAKDOWN'!I37&lt;'3_ROUTING_BREAKDOWN'!H37,'3_ROUTING_BREAKDOWN'!I37,'3_ROUTING_BREAKDOWN'!G37),"")</f>
        <v>0.9</v>
      </c>
      <c r="H44">
        <f>IFERROR('3_ROUTING_BREAKDOWN'!P79,0)</f>
        <v>7.2674074074074113E-2</v>
      </c>
      <c r="I44">
        <f t="shared" si="2"/>
        <v>7.2674134074074109E-2</v>
      </c>
    </row>
    <row r="45" spans="1:9" x14ac:dyDescent="0.25">
      <c r="A45">
        <v>44</v>
      </c>
      <c r="B45" t="s">
        <v>179</v>
      </c>
      <c r="C45" t="str">
        <f>IFERROR('3_ROUTING_BREAKDOWN'!B38,"")</f>
        <v>3. Digital Assembly Line</v>
      </c>
      <c r="D45" t="str">
        <f>IFERROR('3_ROUTING_BREAKDOWN'!C38,"")</f>
        <v>E-ins II (Capacitive)</v>
      </c>
      <c r="E45" t="str">
        <f>IFERROR(IF('3_ROUTING_BREAKDOWN'!I38&lt;'3_ROUTING_BREAKDOWN'!H38,"Yield Drop ("&amp;TEXT('3_ROUTING_BREAKDOWN'!H38,"0.0%")&amp;" ➔ "&amp;TEXT('3_ROUTING_BREAKDOWN'!I38,"0.0%")&amp;")",IF('3_ROUTING_BREAKDOWN'!G38&lt;'3_ROUTING_BREAKDOWN'!F38,"Capacity Drop","Process Variance")),"")</f>
        <v>Yield Drop (100.0% ➔ 90.0%)</v>
      </c>
      <c r="F45">
        <f>IFERROR(IF('3_ROUTING_BREAKDOWN'!I38&lt;'3_ROUTING_BREAKDOWN'!H38,'3_ROUTING_BREAKDOWN'!H38,'3_ROUTING_BREAKDOWN'!F38),"")</f>
        <v>1</v>
      </c>
      <c r="G45">
        <f>IFERROR(IF('3_ROUTING_BREAKDOWN'!I38&lt;'3_ROUTING_BREAKDOWN'!H38,'3_ROUTING_BREAKDOWN'!I38,'3_ROUTING_BREAKDOWN'!G38),"")</f>
        <v>0.9</v>
      </c>
      <c r="H45">
        <f>IFERROR('3_ROUTING_BREAKDOWN'!P80,0)</f>
        <v>0.14534814814814823</v>
      </c>
      <c r="I45">
        <f t="shared" si="2"/>
        <v>0.14534819814814823</v>
      </c>
    </row>
    <row r="46" spans="1:9" x14ac:dyDescent="0.25">
      <c r="A46">
        <v>45</v>
      </c>
      <c r="B46" t="s">
        <v>179</v>
      </c>
      <c r="C46" t="str">
        <f>IFERROR('3_ROUTING_BREAKDOWN'!B39,"")</f>
        <v>3. Digital Assembly Line</v>
      </c>
      <c r="D46" t="str">
        <f>IFERROR('3_ROUTING_BREAKDOWN'!C39,"")</f>
        <v>VDO-ins II (SN code &amp; C peel off)</v>
      </c>
      <c r="E46" t="str">
        <f>IFERROR(IF('3_ROUTING_BREAKDOWN'!I39&lt;'3_ROUTING_BREAKDOWN'!H39,"Yield Drop ("&amp;TEXT('3_ROUTING_BREAKDOWN'!H39,"0.0%")&amp;" ➔ "&amp;TEXT('3_ROUTING_BREAKDOWN'!I39,"0.0%")&amp;")",IF('3_ROUTING_BREAKDOWN'!G39&lt;'3_ROUTING_BREAKDOWN'!F39,"Capacity Drop","Process Variance")),"")</f>
        <v>Yield Drop (100.0% ➔ 90.0%)</v>
      </c>
      <c r="F46">
        <f>IFERROR(IF('3_ROUTING_BREAKDOWN'!I39&lt;'3_ROUTING_BREAKDOWN'!H39,'3_ROUTING_BREAKDOWN'!H39,'3_ROUTING_BREAKDOWN'!F39),"")</f>
        <v>1</v>
      </c>
      <c r="G46">
        <f>IFERROR(IF('3_ROUTING_BREAKDOWN'!I39&lt;'3_ROUTING_BREAKDOWN'!H39,'3_ROUTING_BREAKDOWN'!I39,'3_ROUTING_BREAKDOWN'!G39),"")</f>
        <v>0.9</v>
      </c>
      <c r="H46">
        <f>IFERROR('3_ROUTING_BREAKDOWN'!P81,0)</f>
        <v>3.6337037037037057E-2</v>
      </c>
      <c r="I46">
        <f t="shared" si="2"/>
        <v>3.6337077037037056E-2</v>
      </c>
    </row>
    <row r="47" spans="1:9" x14ac:dyDescent="0.25">
      <c r="A47">
        <v>46</v>
      </c>
      <c r="B47" t="s">
        <v>179</v>
      </c>
      <c r="C47" t="str">
        <f>IFERROR('3_ROUTING_BREAKDOWN'!B40,"")</f>
        <v>3. Digital Assembly Line</v>
      </c>
      <c r="D47" t="str">
        <f>IFERROR('3_ROUTING_BREAKDOWN'!C40,"")</f>
        <v>V-Ins</v>
      </c>
      <c r="E47" t="str">
        <f>IFERROR(IF('3_ROUTING_BREAKDOWN'!I40&lt;'3_ROUTING_BREAKDOWN'!H40,"Yield Drop ("&amp;TEXT('3_ROUTING_BREAKDOWN'!H40,"0.0%")&amp;" ➔ "&amp;TEXT('3_ROUTING_BREAKDOWN'!I40,"0.0%")&amp;")",IF('3_ROUTING_BREAKDOWN'!G40&lt;'3_ROUTING_BREAKDOWN'!F40,"Capacity Drop","Process Variance")),"")</f>
        <v>Yield Drop (100.0% ➔ 90.0%)</v>
      </c>
      <c r="F47">
        <f>IFERROR(IF('3_ROUTING_BREAKDOWN'!I40&lt;'3_ROUTING_BREAKDOWN'!H40,'3_ROUTING_BREAKDOWN'!H40,'3_ROUTING_BREAKDOWN'!F40),"")</f>
        <v>1</v>
      </c>
      <c r="G47">
        <f>IFERROR(IF('3_ROUTING_BREAKDOWN'!I40&lt;'3_ROUTING_BREAKDOWN'!H40,'3_ROUTING_BREAKDOWN'!I40,'3_ROUTING_BREAKDOWN'!G40),"")</f>
        <v>0.9</v>
      </c>
      <c r="H47">
        <f>IFERROR('3_ROUTING_BREAKDOWN'!P82,0)</f>
        <v>7.2674074074074113E-2</v>
      </c>
      <c r="I47">
        <f t="shared" si="2"/>
        <v>7.2674104074074111E-2</v>
      </c>
    </row>
    <row r="48" spans="1:9" x14ac:dyDescent="0.25">
      <c r="A48">
        <v>47</v>
      </c>
      <c r="B48" t="s">
        <v>179</v>
      </c>
      <c r="C48" t="str">
        <f>IFERROR('3_ROUTING_BREAKDOWN'!B41,"")</f>
        <v>4. Supporting Line</v>
      </c>
      <c r="D48" t="str">
        <f>IFERROR('3_ROUTING_BREAKDOWN'!C41,"")</f>
        <v>Support (Film puncher)</v>
      </c>
      <c r="E48" t="str">
        <f>IFERROR(IF('3_ROUTING_BREAKDOWN'!I41&lt;'3_ROUTING_BREAKDOWN'!H41,"Yield Drop ("&amp;TEXT('3_ROUTING_BREAKDOWN'!H41,"0.0%")&amp;" ➔ "&amp;TEXT('3_ROUTING_BREAKDOWN'!I41,"0.0%")&amp;")",IF('3_ROUTING_BREAKDOWN'!G41&lt;'3_ROUTING_BREAKDOWN'!F41,"Capacity Drop","Process Variance")),"")</f>
        <v>Process Variance</v>
      </c>
      <c r="F48">
        <f>IFERROR(IF('3_ROUTING_BREAKDOWN'!I41&lt;'3_ROUTING_BREAKDOWN'!H41,'3_ROUTING_BREAKDOWN'!H41,'3_ROUTING_BREAKDOWN'!F41),"")</f>
        <v>480</v>
      </c>
      <c r="G48">
        <f>IFERROR(IF('3_ROUTING_BREAKDOWN'!I41&lt;'3_ROUTING_BREAKDOWN'!H41,'3_ROUTING_BREAKDOWN'!I41,'3_ROUTING_BREAKDOWN'!G41),"")</f>
        <v>480</v>
      </c>
      <c r="H48">
        <f>IFERROR('3_ROUTING_BREAKDOWN'!P83,0)</f>
        <v>0</v>
      </c>
      <c r="I48">
        <f t="shared" si="2"/>
        <v>2E-8</v>
      </c>
    </row>
    <row r="49" spans="1:9" x14ac:dyDescent="0.25">
      <c r="A49">
        <v>48</v>
      </c>
      <c r="B49" t="s">
        <v>179</v>
      </c>
      <c r="C49" t="str">
        <f>IFERROR('3_ROUTING_BREAKDOWN'!B42,"")</f>
        <v>4. Supporting Line</v>
      </c>
      <c r="D49" t="str">
        <f>IFERROR('3_ROUTING_BREAKDOWN'!C42,"")</f>
        <v>Support (Half cut)</v>
      </c>
      <c r="E49" t="str">
        <f>IFERROR(IF('3_ROUTING_BREAKDOWN'!I42&lt;'3_ROUTING_BREAKDOWN'!H42,"Yield Drop ("&amp;TEXT('3_ROUTING_BREAKDOWN'!H42,"0.0%")&amp;" ➔ "&amp;TEXT('3_ROUTING_BREAKDOWN'!I42,"0.0%")&amp;")",IF('3_ROUTING_BREAKDOWN'!G42&lt;'3_ROUTING_BREAKDOWN'!F42,"Capacity Drop","Process Variance")),"")</f>
        <v>Process Variance</v>
      </c>
      <c r="F49">
        <f>IFERROR(IF('3_ROUTING_BREAKDOWN'!I42&lt;'3_ROUTING_BREAKDOWN'!H42,'3_ROUTING_BREAKDOWN'!H42,'3_ROUTING_BREAKDOWN'!F42),"")</f>
        <v>4800</v>
      </c>
      <c r="G49">
        <f>IFERROR(IF('3_ROUTING_BREAKDOWN'!I42&lt;'3_ROUTING_BREAKDOWN'!H42,'3_ROUTING_BREAKDOWN'!I42,'3_ROUTING_BREAKDOWN'!G42),"")</f>
        <v>4800</v>
      </c>
      <c r="H49">
        <f>IFERROR('3_ROUTING_BREAKDOWN'!P84,0)</f>
        <v>0</v>
      </c>
      <c r="I49">
        <f t="shared" si="2"/>
        <v>1E-8</v>
      </c>
    </row>
    <row r="50" spans="1:9" x14ac:dyDescent="0.25">
      <c r="A50">
        <v>49</v>
      </c>
      <c r="B50" t="s">
        <v>179</v>
      </c>
      <c r="C50" t="str">
        <f>IFERROR('3_ROUTING_BREAKDOWN'!B43,"")</f>
        <v>5. QA &amp; Packing Line</v>
      </c>
      <c r="D50" t="str">
        <f>IFERROR('3_ROUTING_BREAKDOWN'!C43,"")</f>
        <v>QA &amp; Packing (VDO-Ins 1/2, QA Ins, Packing carton, Leader)</v>
      </c>
      <c r="E50" t="str">
        <f>IFERROR(IF('3_ROUTING_BREAKDOWN'!I43&lt;'3_ROUTING_BREAKDOWN'!H43,"Yield Drop ("&amp;TEXT('3_ROUTING_BREAKDOWN'!H43,"0.0%")&amp;" ➔ "&amp;TEXT('3_ROUTING_BREAKDOWN'!I43,"0.0%")&amp;")",IF('3_ROUTING_BREAKDOWN'!G43&lt;'3_ROUTING_BREAKDOWN'!F43,"Capacity Drop","Process Variance")),"")</f>
        <v>Process Variance</v>
      </c>
      <c r="F50">
        <f>IFERROR(IF('3_ROUTING_BREAKDOWN'!I43&lt;'3_ROUTING_BREAKDOWN'!H43,'3_ROUTING_BREAKDOWN'!H43,'3_ROUTING_BREAKDOWN'!F43),"")</f>
        <v>560</v>
      </c>
      <c r="G50">
        <f>IFERROR(IF('3_ROUTING_BREAKDOWN'!I43&lt;'3_ROUTING_BREAKDOWN'!H43,'3_ROUTING_BREAKDOWN'!I43,'3_ROUTING_BREAKDOWN'!G43),"")</f>
        <v>560</v>
      </c>
      <c r="H50">
        <f>IFERROR('3_ROUTING_BREAKDOWN'!P85,0)</f>
        <v>0</v>
      </c>
      <c r="I50">
        <f t="shared" si="2"/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workbookViewId="0"/>
  </sheetViews>
  <sheetFormatPr defaultRowHeight="15" x14ac:dyDescent="0.25"/>
  <cols>
    <col min="1" max="1" width="12" customWidth="1"/>
    <col min="2" max="2" width="32" customWidth="1"/>
    <col min="3" max="3" width="52" customWidth="1"/>
    <col min="4" max="4" width="44" customWidth="1"/>
    <col min="5" max="6" width="18" customWidth="1"/>
    <col min="7" max="7" width="22" customWidth="1"/>
    <col min="8" max="8" width="16" customWidth="1"/>
    <col min="9" max="9" width="18" customWidth="1"/>
    <col min="10" max="10" width="48" customWidth="1"/>
  </cols>
  <sheetData>
    <row r="1" spans="1:10" ht="15.75" x14ac:dyDescent="0.25">
      <c r="A1" s="18" t="s">
        <v>180</v>
      </c>
      <c r="B1" s="18"/>
      <c r="C1" s="18"/>
      <c r="D1" s="18"/>
      <c r="E1" s="18"/>
      <c r="F1" s="18"/>
    </row>
    <row r="3" spans="1:10" x14ac:dyDescent="0.25">
      <c r="A3" s="19" t="s">
        <v>181</v>
      </c>
      <c r="B3" s="19"/>
      <c r="C3" s="19"/>
      <c r="D3" s="19"/>
      <c r="E3" s="19"/>
      <c r="F3" s="19"/>
    </row>
    <row r="4" spans="1:10" x14ac:dyDescent="0.25">
      <c r="A4" s="1" t="s">
        <v>182</v>
      </c>
      <c r="B4" s="1" t="s">
        <v>183</v>
      </c>
      <c r="C4" s="1" t="s">
        <v>184</v>
      </c>
      <c r="D4" s="1" t="s">
        <v>185</v>
      </c>
      <c r="E4" s="1" t="s">
        <v>186</v>
      </c>
      <c r="F4" s="1" t="s">
        <v>187</v>
      </c>
    </row>
    <row r="5" spans="1:10" x14ac:dyDescent="0.25">
      <c r="A5" s="13" t="s">
        <v>178</v>
      </c>
      <c r="B5" s="7">
        <f>IFERROR('2_BOM_BREAKDOWN'!D28, 0)</f>
        <v>18.875299999999999</v>
      </c>
      <c r="C5" s="7">
        <f>IFERROR('2_BOM_BREAKDOWN'!E28, 0)</f>
        <v>20.675279999999997</v>
      </c>
      <c r="D5" s="7">
        <f>IFERROR(C5-B5, 0)</f>
        <v>1.7999799999999979</v>
      </c>
      <c r="E5" s="14">
        <f>IFERROR(IF(B5&gt;0, D5/B5, 0), 0)</f>
        <v>9.5361663125883983E-2</v>
      </c>
      <c r="F5" s="6" t="s">
        <v>188</v>
      </c>
    </row>
    <row r="6" spans="1:10" x14ac:dyDescent="0.25">
      <c r="A6" s="13" t="s">
        <v>189</v>
      </c>
      <c r="B6" s="7">
        <f>IFERROR('3_ROUTING_BREAKDOWN'!H86, 0)</f>
        <v>7.1870851435315553</v>
      </c>
      <c r="C6" s="7">
        <f>IFERROR('3_ROUTING_BREAKDOWN'!I86, 0)</f>
        <v>7.8626696280160404</v>
      </c>
      <c r="D6" s="7">
        <f>IFERROR(C6-B6, 0)</f>
        <v>0.67558448448448516</v>
      </c>
      <c r="E6" s="14">
        <f>IFERROR(IF(B6&gt;0, D6/B6, 0), 0)</f>
        <v>9.3999788647629645E-2</v>
      </c>
      <c r="F6" s="6" t="s">
        <v>188</v>
      </c>
    </row>
    <row r="7" spans="1:10" x14ac:dyDescent="0.25">
      <c r="A7" s="13" t="s">
        <v>190</v>
      </c>
      <c r="B7" s="7">
        <f>IFERROR('3_ROUTING_BREAKDOWN'!K86, 0)</f>
        <v>6.383372882294009</v>
      </c>
      <c r="C7" s="7">
        <f>IFERROR('3_ROUTING_BREAKDOWN'!L86, 0)</f>
        <v>6.966817627038755</v>
      </c>
      <c r="D7" s="7">
        <f>IFERROR(C7-B7, 0)</f>
        <v>0.58344474474474595</v>
      </c>
      <c r="E7" s="14">
        <f>IFERROR(IF(B7&gt;0, D7/B7, 0), 0)</f>
        <v>9.1400699207637687E-2</v>
      </c>
      <c r="F7" s="6" t="s">
        <v>188</v>
      </c>
    </row>
    <row r="8" spans="1:10" x14ac:dyDescent="0.25">
      <c r="A8" s="8" t="s">
        <v>191</v>
      </c>
      <c r="B8" s="9">
        <f>IFERROR(SUM(B5:B7), 0)</f>
        <v>32.445758025825562</v>
      </c>
      <c r="C8" s="9">
        <f>IFERROR(SUM(C5:C7), 0)</f>
        <v>35.504767255054794</v>
      </c>
      <c r="D8" s="9">
        <f>IFERROR(C8-B8, 0)</f>
        <v>3.0590092292292326</v>
      </c>
      <c r="E8" s="15">
        <f>IFERROR(IF(B8&gt;0, D8/B8, 0), 0)</f>
        <v>9.4280713885444747E-2</v>
      </c>
      <c r="F8" s="8" t="s">
        <v>192</v>
      </c>
    </row>
    <row r="11" spans="1:10" x14ac:dyDescent="0.25">
      <c r="A11" s="19" t="s">
        <v>193</v>
      </c>
      <c r="B11" s="19"/>
      <c r="C11" s="19"/>
      <c r="D11" s="19"/>
      <c r="E11" s="19"/>
      <c r="F11" s="19"/>
      <c r="G11" s="19"/>
      <c r="H11" s="19"/>
      <c r="I11" s="19"/>
      <c r="J11" s="19"/>
    </row>
    <row r="12" spans="1:10" x14ac:dyDescent="0.25">
      <c r="A12" s="1" t="s">
        <v>194</v>
      </c>
      <c r="B12" s="1" t="s">
        <v>195</v>
      </c>
      <c r="C12" s="1" t="s">
        <v>196</v>
      </c>
      <c r="D12" s="1" t="s">
        <v>197</v>
      </c>
      <c r="E12" s="1" t="s">
        <v>174</v>
      </c>
      <c r="F12" s="1" t="s">
        <v>175</v>
      </c>
      <c r="G12" s="1" t="s">
        <v>198</v>
      </c>
      <c r="H12" s="1" t="s">
        <v>199</v>
      </c>
      <c r="I12" s="1" t="s">
        <v>200</v>
      </c>
      <c r="J12" s="1" t="s">
        <v>201</v>
      </c>
    </row>
    <row r="13" spans="1:10" x14ac:dyDescent="0.25">
      <c r="A13" s="13" t="s">
        <v>202</v>
      </c>
      <c r="B13" s="6" t="str">
        <f>IFERROR(IF(G13="","", INDEX(_CALC_ENGINE!$C$2:$C$50, MATCH(LARGE(_CALC_ENGINE!$I$2:$I$50, 1), _CALC_ENGINE!$I$2:$I$50, 0))), "")</f>
        <v>Direct Material</v>
      </c>
      <c r="C13" s="6" t="str">
        <f>IFERROR(IF(G13="","", INDEX(_CALC_ENGINE!$D$2:$D$50, MATCH(LARGE(_CALC_ENGINE!$I$2:$I$50, 1), _CALC_ENGINE!$I$2:$I$50, 0))), "")</f>
        <v>DOTITE XA-3645 Conductive Silver Paste Ink</v>
      </c>
      <c r="D13" s="6" t="str">
        <f>IFERROR(IF(G13="","", INDEX(_CALC_ENGINE!$E$2:$E$50, MATCH(LARGE(_CALC_ENGINE!$I$2:$I$50, 1), _CALC_ENGINE!$I$2:$I$50, 0))), "")</f>
        <v>Unit Price Inflation ($150.00 ➔ $545.60)</v>
      </c>
      <c r="E13" s="16">
        <f>IFERROR(IF(G13="","", INDEX(_CALC_ENGINE!$F$2:$F$50, MATCH(LARGE(_CALC_ENGINE!$I$2:$I$50, 1), _CALC_ENGINE!$I$2:$I$50, 0))), "")</f>
        <v>150</v>
      </c>
      <c r="F13" s="16">
        <f>IFERROR(IF(G13="","", INDEX(_CALC_ENGINE!$G$2:$G$50, MATCH(LARGE(_CALC_ENGINE!$I$2:$I$50, 1), _CALC_ENGINE!$I$2:$I$50, 0))), "")</f>
        <v>545.6</v>
      </c>
      <c r="G13" s="17">
        <f>IFERROR(IF(LARGE(_CALC_ENGINE!$I$2:$I$50, 1)&gt;0.000001, INDEX(_CALC_ENGINE!$H$2:$H$50, MATCH(LARGE(_CALC_ENGINE!$I$2:$I$50, 1), _CALC_ENGINE!$I$2:$I$50, 0)), ""), "")</f>
        <v>1.7999800000000001</v>
      </c>
      <c r="H13" s="14">
        <f t="shared" ref="H13:H22" si="0">IFERROR(IF(OR(G13="", $D$8&lt;=0), "", G13/$D$8), "")</f>
        <v>0.58841927732710197</v>
      </c>
      <c r="I13" s="13" t="str">
        <f t="shared" ref="I13:I22" si="1">IFERROR(IF(G13="","", IF(J13="","Controllable","Uncontrollable")), "")</f>
        <v>Uncontrollable</v>
      </c>
      <c r="J13" s="2" t="s">
        <v>203</v>
      </c>
    </row>
    <row r="14" spans="1:10" x14ac:dyDescent="0.25">
      <c r="A14" s="13" t="s">
        <v>204</v>
      </c>
      <c r="B14" s="6" t="str">
        <f>IFERROR(IF(G14="","", INDEX(_CALC_ENGINE!$C$2:$C$50, MATCH(LARGE(_CALC_ENGINE!$I$2:$I$50, 2), _CALC_ENGINE!$I$2:$I$50, 0))), "")</f>
        <v>3. Digital Assembly Line</v>
      </c>
      <c r="C14" s="6" t="str">
        <f>IFERROR(IF(G14="","", INDEX(_CALC_ENGINE!$D$2:$D$50, MATCH(LARGE(_CALC_ENGINE!$I$2:$I$50, 2), _CALC_ENGINE!$I$2:$I$50, 0))), "")</f>
        <v>AI-Ins</v>
      </c>
      <c r="D14" s="6" t="str">
        <f>IFERROR(IF(G14="","", INDEX(_CALC_ENGINE!$E$2:$E$50, MATCH(LARGE(_CALC_ENGINE!$I$2:$I$50, 2), _CALC_ENGINE!$I$2:$I$50, 0))), "")</f>
        <v>Yield Drop (100.0% ➔ 74.0%)</v>
      </c>
      <c r="E14" s="16">
        <f>IFERROR(IF(G14="","", INDEX(_CALC_ENGINE!$F$2:$F$50, MATCH(LARGE(_CALC_ENGINE!$I$2:$I$50, 2), _CALC_ENGINE!$I$2:$I$50, 0))), "")</f>
        <v>1</v>
      </c>
      <c r="F14" s="16">
        <f>IFERROR(IF(G14="","", INDEX(_CALC_ENGINE!$G$2:$G$50, MATCH(LARGE(_CALC_ENGINE!$I$2:$I$50, 2), _CALC_ENGINE!$I$2:$I$50, 0))), "")</f>
        <v>0.74</v>
      </c>
      <c r="G14" s="17">
        <f>IFERROR(IF(LARGE(_CALC_ENGINE!$I$2:$I$50, 2)&gt;0.000001, INDEX(_CALC_ENGINE!$H$2:$H$50, MATCH(LARGE(_CALC_ENGINE!$I$2:$I$50, 2), _CALC_ENGINE!$I$2:$I$50, 0)), ""), "")</f>
        <v>0.45961441441441431</v>
      </c>
      <c r="H14" s="14">
        <f t="shared" si="0"/>
        <v>0.15024943698199358</v>
      </c>
      <c r="I14" s="13" t="str">
        <f t="shared" si="1"/>
        <v>Controllable</v>
      </c>
      <c r="J14" s="2"/>
    </row>
    <row r="15" spans="1:10" x14ac:dyDescent="0.25">
      <c r="A15" s="13" t="s">
        <v>205</v>
      </c>
      <c r="B15" s="6" t="str">
        <f>IFERROR(IF(G15="","", INDEX(_CALC_ENGINE!$C$2:$C$50, MATCH(LARGE(_CALC_ENGINE!$I$2:$I$50, 3), _CALC_ENGINE!$I$2:$I$50, 0))), "")</f>
        <v>3. Digital Assembly Line</v>
      </c>
      <c r="C15" s="6" t="str">
        <f>IFERROR(IF(G15="","", INDEX(_CALC_ENGINE!$D$2:$D$50, MATCH(LARGE(_CALC_ENGINE!$I$2:$I$50, 3), _CALC_ENGINE!$I$2:$I$50, 0))), "")</f>
        <v>VDO-ins I</v>
      </c>
      <c r="D15" s="6" t="str">
        <f>IFERROR(IF(G15="","", INDEX(_CALC_ENGINE!$E$2:$E$50, MATCH(LARGE(_CALC_ENGINE!$I$2:$I$50, 3), _CALC_ENGINE!$I$2:$I$50, 0))), "")</f>
        <v>Yield Drop (100.0% ➔ 84.0%)</v>
      </c>
      <c r="E15" s="16">
        <f>IFERROR(IF(G15="","", INDEX(_CALC_ENGINE!$F$2:$F$50, MATCH(LARGE(_CALC_ENGINE!$I$2:$I$50, 3), _CALC_ENGINE!$I$2:$I$50, 0))), "")</f>
        <v>1</v>
      </c>
      <c r="F15" s="16">
        <f>IFERROR(IF(G15="","", INDEX(_CALC_ENGINE!$G$2:$G$50, MATCH(LARGE(_CALC_ENGINE!$I$2:$I$50, 3), _CALC_ENGINE!$I$2:$I$50, 0))), "")</f>
        <v>0.84</v>
      </c>
      <c r="G15" s="17">
        <f>IFERROR(IF(LARGE(_CALC_ENGINE!$I$2:$I$50, 3)&gt;0.000001, INDEX(_CALC_ENGINE!$H$2:$H$50, MATCH(LARGE(_CALC_ENGINE!$I$2:$I$50, 3), _CALC_ENGINE!$I$2:$I$50, 0)), ""), "")</f>
        <v>0.24916825396825359</v>
      </c>
      <c r="H15" s="14">
        <f t="shared" si="0"/>
        <v>8.1453907228333414E-2</v>
      </c>
      <c r="I15" s="13" t="str">
        <f t="shared" si="1"/>
        <v>Controllable</v>
      </c>
      <c r="J15" s="2"/>
    </row>
    <row r="16" spans="1:10" x14ac:dyDescent="0.25">
      <c r="A16" s="13" t="s">
        <v>206</v>
      </c>
      <c r="B16" s="6" t="str">
        <f>IFERROR(IF(G16="","", INDEX(_CALC_ENGINE!$C$2:$C$50, MATCH(LARGE(_CALC_ENGINE!$I$2:$I$50, 4), _CALC_ENGINE!$I$2:$I$50, 0))), "")</f>
        <v>3. Digital Assembly Line</v>
      </c>
      <c r="C16" s="6" t="str">
        <f>IFERROR(IF(G16="","", INDEX(_CALC_ENGINE!$D$2:$D$50, MATCH(LARGE(_CALC_ENGINE!$I$2:$I$50, 4), _CALC_ENGINE!$I$2:$I$50, 0))), "")</f>
        <v>E-ins II (Capacitive)</v>
      </c>
      <c r="D16" s="6" t="str">
        <f>IFERROR(IF(G16="","", INDEX(_CALC_ENGINE!$E$2:$E$50, MATCH(LARGE(_CALC_ENGINE!$I$2:$I$50, 4), _CALC_ENGINE!$I$2:$I$50, 0))), "")</f>
        <v>Yield Drop (100.0% ➔ 90.0%)</v>
      </c>
      <c r="E16" s="16">
        <f>IFERROR(IF(G16="","", INDEX(_CALC_ENGINE!$F$2:$F$50, MATCH(LARGE(_CALC_ENGINE!$I$2:$I$50, 4), _CALC_ENGINE!$I$2:$I$50, 0))), "")</f>
        <v>1</v>
      </c>
      <c r="F16" s="16">
        <f>IFERROR(IF(G16="","", INDEX(_CALC_ENGINE!$G$2:$G$50, MATCH(LARGE(_CALC_ENGINE!$I$2:$I$50, 4), _CALC_ENGINE!$I$2:$I$50, 0))), "")</f>
        <v>0.9</v>
      </c>
      <c r="G16" s="17">
        <f>IFERROR(IF(LARGE(_CALC_ENGINE!$I$2:$I$50, 4)&gt;0.000001, INDEX(_CALC_ENGINE!$H$2:$H$50, MATCH(LARGE(_CALC_ENGINE!$I$2:$I$50, 4), _CALC_ENGINE!$I$2:$I$50, 0)), ""), "")</f>
        <v>0.14534814814814823</v>
      </c>
      <c r="H16" s="14">
        <f t="shared" si="0"/>
        <v>4.7514779216527921E-2</v>
      </c>
      <c r="I16" s="13" t="str">
        <f t="shared" si="1"/>
        <v>Controllable</v>
      </c>
      <c r="J16" s="2"/>
    </row>
    <row r="17" spans="1:10" x14ac:dyDescent="0.25">
      <c r="A17" s="13" t="s">
        <v>207</v>
      </c>
      <c r="B17" s="6" t="str">
        <f>IFERROR(IF(G17="","", INDEX(_CALC_ENGINE!$C$2:$C$50, MATCH(LARGE(_CALC_ENGINE!$I$2:$I$50, 5), _CALC_ENGINE!$I$2:$I$50, 0))), "")</f>
        <v>3. Digital Assembly Line</v>
      </c>
      <c r="C17" s="6" t="str">
        <f>IFERROR(IF(G17="","", INDEX(_CALC_ENGINE!$D$2:$D$50, MATCH(LARGE(_CALC_ENGINE!$I$2:$I$50, 5), _CALC_ENGINE!$I$2:$I$50, 0))), "")</f>
        <v>P-ins</v>
      </c>
      <c r="D17" s="6" t="str">
        <f>IFERROR(IF(G17="","", INDEX(_CALC_ENGINE!$E$2:$E$50, MATCH(LARGE(_CALC_ENGINE!$I$2:$I$50, 5), _CALC_ENGINE!$I$2:$I$50, 0))), "")</f>
        <v>Yield Drop (100.0% ➔ 84.0%)</v>
      </c>
      <c r="E17" s="16">
        <f>IFERROR(IF(G17="","", INDEX(_CALC_ENGINE!$F$2:$F$50, MATCH(LARGE(_CALC_ENGINE!$I$2:$I$50, 5), _CALC_ENGINE!$I$2:$I$50, 0))), "")</f>
        <v>1</v>
      </c>
      <c r="F17" s="16">
        <f>IFERROR(IF(G17="","", INDEX(_CALC_ENGINE!$G$2:$G$50, MATCH(LARGE(_CALC_ENGINE!$I$2:$I$50, 5), _CALC_ENGINE!$I$2:$I$50, 0))), "")</f>
        <v>0.84</v>
      </c>
      <c r="G17" s="17">
        <f>IFERROR(IF(LARGE(_CALC_ENGINE!$I$2:$I$50, 5)&gt;0.000001, INDEX(_CALC_ENGINE!$H$2:$H$50, MATCH(LARGE(_CALC_ENGINE!$I$2:$I$50, 5), _CALC_ENGINE!$I$2:$I$50, 0)), ""), "")</f>
        <v>0.1245841269841268</v>
      </c>
      <c r="H17" s="14">
        <f t="shared" si="0"/>
        <v>4.0726953614166707E-2</v>
      </c>
      <c r="I17" s="13" t="str">
        <f t="shared" si="1"/>
        <v>Controllable</v>
      </c>
      <c r="J17" s="2"/>
    </row>
    <row r="18" spans="1:10" x14ac:dyDescent="0.25">
      <c r="A18" s="13" t="s">
        <v>208</v>
      </c>
      <c r="B18" s="6" t="str">
        <f>IFERROR(IF(G18="","", INDEX(_CALC_ENGINE!$C$2:$C$50, MATCH(LARGE(_CALC_ENGINE!$I$2:$I$50, 6), _CALC_ENGINE!$I$2:$I$50, 0))), "")</f>
        <v>3. Digital Assembly Line</v>
      </c>
      <c r="C18" s="6" t="str">
        <f>IFERROR(IF(G18="","", INDEX(_CALC_ENGINE!$D$2:$D$50, MATCH(LARGE(_CALC_ENGINE!$I$2:$I$50, 6), _CALC_ENGINE!$I$2:$I$50, 0))), "")</f>
        <v>E-ins I (Insulation)</v>
      </c>
      <c r="D18" s="6" t="str">
        <f>IFERROR(IF(G18="","", INDEX(_CALC_ENGINE!$E$2:$E$50, MATCH(LARGE(_CALC_ENGINE!$I$2:$I$50, 6), _CALC_ENGINE!$I$2:$I$50, 0))), "")</f>
        <v>Yield Drop (100.0% ➔ 90.0%)</v>
      </c>
      <c r="E18" s="16">
        <f>IFERROR(IF(G18="","", INDEX(_CALC_ENGINE!$F$2:$F$50, MATCH(LARGE(_CALC_ENGINE!$I$2:$I$50, 6), _CALC_ENGINE!$I$2:$I$50, 0))), "")</f>
        <v>1</v>
      </c>
      <c r="F18" s="16">
        <f>IFERROR(IF(G18="","", INDEX(_CALC_ENGINE!$G$2:$G$50, MATCH(LARGE(_CALC_ENGINE!$I$2:$I$50, 6), _CALC_ENGINE!$I$2:$I$50, 0))), "")</f>
        <v>0.9</v>
      </c>
      <c r="G18" s="17">
        <f>IFERROR(IF(LARGE(_CALC_ENGINE!$I$2:$I$50, 6)&gt;0.000001, INDEX(_CALC_ENGINE!$H$2:$H$50, MATCH(LARGE(_CALC_ENGINE!$I$2:$I$50, 6), _CALC_ENGINE!$I$2:$I$50, 0)), ""), "")</f>
        <v>7.2674074074074113E-2</v>
      </c>
      <c r="H18" s="14">
        <f t="shared" si="0"/>
        <v>2.375738960826396E-2</v>
      </c>
      <c r="I18" s="13" t="str">
        <f t="shared" si="1"/>
        <v>Controllable</v>
      </c>
      <c r="J18" s="2"/>
    </row>
    <row r="19" spans="1:10" x14ac:dyDescent="0.25">
      <c r="A19" s="13" t="s">
        <v>209</v>
      </c>
      <c r="B19" s="6" t="str">
        <f>IFERROR(IF(G19="","", INDEX(_CALC_ENGINE!$C$2:$C$50, MATCH(LARGE(_CALC_ENGINE!$I$2:$I$50, 7), _CALC_ENGINE!$I$2:$I$50, 0))), "")</f>
        <v>3. Digital Assembly Line</v>
      </c>
      <c r="C19" s="6" t="str">
        <f>IFERROR(IF(G19="","", INDEX(_CALC_ENGINE!$D$2:$D$50, MATCH(LARGE(_CALC_ENGINE!$I$2:$I$50, 7), _CALC_ENGINE!$I$2:$I$50, 0))), "")</f>
        <v>V-Ins</v>
      </c>
      <c r="D19" s="6" t="str">
        <f>IFERROR(IF(G19="","", INDEX(_CALC_ENGINE!$E$2:$E$50, MATCH(LARGE(_CALC_ENGINE!$I$2:$I$50, 7), _CALC_ENGINE!$I$2:$I$50, 0))), "")</f>
        <v>Yield Drop (100.0% ➔ 90.0%)</v>
      </c>
      <c r="E19" s="16">
        <f>IFERROR(IF(G19="","", INDEX(_CALC_ENGINE!$F$2:$F$50, MATCH(LARGE(_CALC_ENGINE!$I$2:$I$50, 7), _CALC_ENGINE!$I$2:$I$50, 0))), "")</f>
        <v>1</v>
      </c>
      <c r="F19" s="16">
        <f>IFERROR(IF(G19="","", INDEX(_CALC_ENGINE!$G$2:$G$50, MATCH(LARGE(_CALC_ENGINE!$I$2:$I$50, 7), _CALC_ENGINE!$I$2:$I$50, 0))), "")</f>
        <v>0.9</v>
      </c>
      <c r="G19" s="17">
        <f>IFERROR(IF(LARGE(_CALC_ENGINE!$I$2:$I$50, 7)&gt;0.000001, INDEX(_CALC_ENGINE!$H$2:$H$50, MATCH(LARGE(_CALC_ENGINE!$I$2:$I$50, 7), _CALC_ENGINE!$I$2:$I$50, 0)), ""), "")</f>
        <v>7.2674074074074113E-2</v>
      </c>
      <c r="H19" s="14">
        <f t="shared" si="0"/>
        <v>2.375738960826396E-2</v>
      </c>
      <c r="I19" s="13" t="str">
        <f t="shared" si="1"/>
        <v>Controllable</v>
      </c>
      <c r="J19" s="2"/>
    </row>
    <row r="20" spans="1:10" x14ac:dyDescent="0.25">
      <c r="A20" s="13" t="s">
        <v>210</v>
      </c>
      <c r="B20" s="6" t="str">
        <f>IFERROR(IF(G20="","", INDEX(_CALC_ENGINE!$C$2:$C$50, MATCH(LARGE(_CALC_ENGINE!$I$2:$I$50, 8), _CALC_ENGINE!$I$2:$I$50, 0))), "")</f>
        <v>3. Digital Assembly Line</v>
      </c>
      <c r="C20" s="6" t="str">
        <f>IFERROR(IF(G20="","", INDEX(_CALC_ENGINE!$D$2:$D$50, MATCH(LARGE(_CALC_ENGINE!$I$2:$I$50, 8), _CALC_ENGINE!$I$2:$I$50, 0))), "")</f>
        <v>Outline Blanking</v>
      </c>
      <c r="D20" s="6" t="str">
        <f>IFERROR(IF(G20="","", INDEX(_CALC_ENGINE!$E$2:$E$50, MATCH(LARGE(_CALC_ENGINE!$I$2:$I$50, 8), _CALC_ENGINE!$I$2:$I$50, 0))), "")</f>
        <v>Yield Drop (100.0% ➔ 84.0%)</v>
      </c>
      <c r="E20" s="16">
        <f>IFERROR(IF(G20="","", INDEX(_CALC_ENGINE!$F$2:$F$50, MATCH(LARGE(_CALC_ENGINE!$I$2:$I$50, 8), _CALC_ENGINE!$I$2:$I$50, 0))), "")</f>
        <v>1</v>
      </c>
      <c r="F20" s="16">
        <f>IFERROR(IF(G20="","", INDEX(_CALC_ENGINE!$G$2:$G$50, MATCH(LARGE(_CALC_ENGINE!$I$2:$I$50, 8), _CALC_ENGINE!$I$2:$I$50, 0))), "")</f>
        <v>0.84</v>
      </c>
      <c r="G20" s="17">
        <f>IFERROR(IF(LARGE(_CALC_ENGINE!$I$2:$I$50, 8)&gt;0.000001, INDEX(_CALC_ENGINE!$H$2:$H$50, MATCH(LARGE(_CALC_ENGINE!$I$2:$I$50, 8), _CALC_ENGINE!$I$2:$I$50, 0)), ""), "")</f>
        <v>6.2292063492063399E-2</v>
      </c>
      <c r="H20" s="14">
        <f t="shared" si="0"/>
        <v>2.0363476807083353E-2</v>
      </c>
      <c r="I20" s="13" t="str">
        <f t="shared" si="1"/>
        <v>Controllable</v>
      </c>
      <c r="J20" s="2"/>
    </row>
    <row r="21" spans="1:10" x14ac:dyDescent="0.25">
      <c r="A21" s="13" t="s">
        <v>211</v>
      </c>
      <c r="B21" s="6" t="str">
        <f>IFERROR(IF(G21="","", INDEX(_CALC_ENGINE!$C$2:$C$50, MATCH(LARGE(_CALC_ENGINE!$I$2:$I$50, 9), _CALC_ENGINE!$I$2:$I$50, 0))), "")</f>
        <v>3. Digital Assembly Line</v>
      </c>
      <c r="C21" s="6" t="str">
        <f>IFERROR(IF(G21="","", INDEX(_CALC_ENGINE!$D$2:$D$50, MATCH(LARGE(_CALC_ENGINE!$I$2:$I$50, 9), _CALC_ENGINE!$I$2:$I$50, 0))), "")</f>
        <v>Blanking-ins</v>
      </c>
      <c r="D21" s="6" t="str">
        <f>IFERROR(IF(G21="","", INDEX(_CALC_ENGINE!$E$2:$E$50, MATCH(LARGE(_CALC_ENGINE!$I$2:$I$50, 9), _CALC_ENGINE!$I$2:$I$50, 0))), "")</f>
        <v>Yield Drop (100.0% ➔ 90.0%)</v>
      </c>
      <c r="E21" s="16">
        <f>IFERROR(IF(G21="","", INDEX(_CALC_ENGINE!$F$2:$F$50, MATCH(LARGE(_CALC_ENGINE!$I$2:$I$50, 9), _CALC_ENGINE!$I$2:$I$50, 0))), "")</f>
        <v>1</v>
      </c>
      <c r="F21" s="16">
        <f>IFERROR(IF(G21="","", INDEX(_CALC_ENGINE!$G$2:$G$50, MATCH(LARGE(_CALC_ENGINE!$I$2:$I$50, 9), _CALC_ENGINE!$I$2:$I$50, 0))), "")</f>
        <v>0.9</v>
      </c>
      <c r="G21" s="17">
        <f>IFERROR(IF(LARGE(_CALC_ENGINE!$I$2:$I$50, 9)&gt;0.000001, INDEX(_CALC_ENGINE!$H$2:$H$50, MATCH(LARGE(_CALC_ENGINE!$I$2:$I$50, 9), _CALC_ENGINE!$I$2:$I$50, 0)), ""), "")</f>
        <v>3.6337037037037057E-2</v>
      </c>
      <c r="H21" s="14">
        <f t="shared" si="0"/>
        <v>1.187869480413198E-2</v>
      </c>
      <c r="I21" s="13" t="str">
        <f t="shared" si="1"/>
        <v>Controllable</v>
      </c>
      <c r="J21" s="2"/>
    </row>
    <row r="22" spans="1:10" x14ac:dyDescent="0.25">
      <c r="A22" s="13" t="s">
        <v>212</v>
      </c>
      <c r="B22" s="6" t="str">
        <f>IFERROR(IF(G22="","", INDEX(_CALC_ENGINE!$C$2:$C$50, MATCH(LARGE(_CALC_ENGINE!$I$2:$I$50, 10), _CALC_ENGINE!$I$2:$I$50, 0))), "")</f>
        <v>3. Digital Assembly Line</v>
      </c>
      <c r="C22" s="6" t="str">
        <f>IFERROR(IF(G22="","", INDEX(_CALC_ENGINE!$D$2:$D$50, MATCH(LARGE(_CALC_ENGINE!$I$2:$I$50, 10), _CALC_ENGINE!$I$2:$I$50, 0))), "")</f>
        <v>VDO-ins II (SN code &amp; C peel off)</v>
      </c>
      <c r="D22" s="6" t="str">
        <f>IFERROR(IF(G22="","", INDEX(_CALC_ENGINE!$E$2:$E$50, MATCH(LARGE(_CALC_ENGINE!$I$2:$I$50, 10), _CALC_ENGINE!$I$2:$I$50, 0))), "")</f>
        <v>Yield Drop (100.0% ➔ 90.0%)</v>
      </c>
      <c r="E22" s="16">
        <f>IFERROR(IF(G22="","", INDEX(_CALC_ENGINE!$F$2:$F$50, MATCH(LARGE(_CALC_ENGINE!$I$2:$I$50, 10), _CALC_ENGINE!$I$2:$I$50, 0))), "")</f>
        <v>1</v>
      </c>
      <c r="F22" s="16">
        <f>IFERROR(IF(G22="","", INDEX(_CALC_ENGINE!$G$2:$G$50, MATCH(LARGE(_CALC_ENGINE!$I$2:$I$50, 10), _CALC_ENGINE!$I$2:$I$50, 0))), "")</f>
        <v>0.9</v>
      </c>
      <c r="G22" s="17">
        <f>IFERROR(IF(LARGE(_CALC_ENGINE!$I$2:$I$50, 10)&gt;0.000001, INDEX(_CALC_ENGINE!$H$2:$H$50, MATCH(LARGE(_CALC_ENGINE!$I$2:$I$50, 10), _CALC_ENGINE!$I$2:$I$50, 0)), ""), "")</f>
        <v>3.6337037037037057E-2</v>
      </c>
      <c r="H22" s="14">
        <f t="shared" si="0"/>
        <v>1.187869480413198E-2</v>
      </c>
      <c r="I22" s="13" t="str">
        <f t="shared" si="1"/>
        <v>Controllable</v>
      </c>
      <c r="J22" s="2"/>
    </row>
  </sheetData>
  <mergeCells count="3">
    <mergeCell ref="A1:F1"/>
    <mergeCell ref="A3:F3"/>
    <mergeCell ref="A11:J11"/>
  </mergeCell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1_MASTER_RATES</vt:lpstr>
      <vt:lpstr>2_BOM_BREAKDOWN</vt:lpstr>
      <vt:lpstr>3_ROUTING_BREAKDOWN</vt:lpstr>
      <vt:lpstr>_CALC_ENGINE</vt:lpstr>
      <vt:lpstr>4_SUMMARY_&amp;_COMPARISON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2026-08-15T09:46:19Z</dcterms:created>
  <dcterms:modified xsi:type="dcterms:W3CDTF">2026-08-15T09:46:23Z</dcterms:modified>
  <cp:category/>
</cp:coreProperties>
</file>