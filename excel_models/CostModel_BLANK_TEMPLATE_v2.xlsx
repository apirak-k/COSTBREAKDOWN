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MASTER_RATES" state="visible" r:id="rId4"/>
    <sheet sheetId="2" name="2_BOM_BREAKDOWN" state="visible" r:id="rId5"/>
    <sheet sheetId="3" name="3_ROUTING_BREAKDOWN" state="visible" r:id="rId6"/>
    <sheet sheetId="4" name="_CALC_ENGINE" state="visible" r:id="rId7"/>
    <sheet sheetId="5" name="4_SUMMARY_&amp;_COMPARISON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4" authorId="0">
      <text>
        <r>
          <t>Unit of Measure</t>
        </r>
      </text>
    </comment>
    <comment ref="D8" authorId="0">
      <text>
        <r>
          <t>Effective start date of standard labor and burden rates (YYYY-MM-DD)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4" authorId="0">
      <text>
        <r>
          <t>Unit of Measure</t>
        </r>
      </text>
    </comment>
    <comment ref="D23" authorId="0">
      <text>
        <r>
          <t>Consumption * Base Price * (1 + Base Loss%)</t>
        </r>
      </text>
    </comment>
    <comment ref="E23" authorId="0">
      <text>
        <r>
          <t>Consumption * Active Price * (1 + Active Loss%)</t>
        </r>
      </text>
    </comment>
    <comment ref="F23" authorId="0">
      <text>
        <r>
          <t>(Active Price - Base Price) * Consumption * (1 + Active Loss%)</t>
        </r>
      </text>
    </comment>
    <comment ref="G23" authorId="0">
      <text>
        <r>
          <t>(Active Loss% - Base Loss%) * Consumption * Base Price</t>
        </r>
      </text>
    </comment>
    <comment ref="H23" authorId="0">
      <text>
        <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4" authorId="0">
      <text>
        <r>
          <t>Machine and Man working hour</t>
        </r>
      </text>
    </comment>
    <comment ref="E46" authorId="0">
      <text>
        <r>
          <t>MHr / (Base Capacity * Base Yield%)</t>
        </r>
      </text>
    </comment>
    <comment ref="F46" authorId="0">
      <text>
        <r>
          <t>MHr / (Active Capacity * Active Yield%)</t>
        </r>
      </text>
    </comment>
    <comment ref="G46" authorId="0">
      <text>
        <r>
          <t>Active Runtime - Base Runtime</t>
        </r>
      </text>
    </comment>
    <comment ref="H46" authorId="0">
      <text>
        <r>
          <t>Base Runtime * Labor Rate</t>
        </r>
      </text>
    </comment>
    <comment ref="I46" authorId="0">
      <text>
        <r>
          <t>Active Runtime * Labor Rate</t>
        </r>
      </text>
    </comment>
    <comment ref="J46" authorId="0">
      <text>
        <r>
          <t>Active Labor - Base Labor</t>
        </r>
      </text>
    </comment>
    <comment ref="K46" authorId="0">
      <text>
        <r>
          <t>Base Runtime * Burden Rate</t>
        </r>
      </text>
    </comment>
    <comment ref="L46" authorId="0">
      <text>
        <r>
          <t>Active Runtime * Burden Rate</t>
        </r>
      </text>
    </comment>
    <comment ref="M46" authorId="0">
      <text>
        <r>
          <t>Active Burden - Base Burden</t>
        </r>
      </text>
    </comment>
    <comment ref="N46" authorId="0">
      <text>
        <r>
          <t>Base Labor + Base Burden</t>
        </r>
      </text>
    </comment>
    <comment ref="O46" authorId="0">
      <text>
        <r>
          <t>Active Labor + Active Burden</t>
        </r>
      </text>
    </comment>
    <comment ref="P46" authorId="0">
      <text>
        <r>
          <t>Active Process Cost - Base Process Cost = Δ Labor + Δ Burden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4" authorId="0">
      <text>
        <r>
          <t>Active Current Std - Baseline Ref Std</t>
        </r>
      </text>
    </comment>
    <comment ref="E4" authorId="0">
      <text>
        <r>
          <t>(Variance / Baseline Ref Std) * 100%</t>
        </r>
      </text>
    </comment>
    <comment ref="G12" authorId="0">
      <text>
        <r>
          <t>Cost variance generated by this driver</t>
        </r>
      </text>
    </comment>
    <comment ref="H12" authorId="0">
      <text>
        <r>
          <t>Contribution to overall cost variance</t>
        </r>
      </text>
    </comment>
    <comment ref="I12" authorId="0">
      <text>
        <r>
          <t>Controllable (Manufacturing) vs Uncontrollable (Purchasing Market)</t>
        </r>
      </text>
    </comment>
  </commentList>
</comments>
</file>

<file path=xl/sharedStrings.xml><?xml version="1.0" encoding="utf-8"?>
<sst xmlns="http://schemas.openxmlformats.org/spreadsheetml/2006/main" count="109" uniqueCount="84">
  <si>
    <t>PRODUCT INFO &amp; WORK CENTER RATES</t>
  </si>
  <si>
    <t>PRODUCT INFO</t>
  </si>
  <si>
    <t>Product Name</t>
  </si>
  <si>
    <t>Product Code</t>
  </si>
  <si>
    <t>Description</t>
  </si>
  <si>
    <t>UOM</t>
  </si>
  <si>
    <t>Source Reference</t>
  </si>
  <si>
    <t>WORK CENTER RATES</t>
  </si>
  <si>
    <t>Department</t>
  </si>
  <si>
    <t>Labor Rate (THB/MHr)</t>
  </si>
  <si>
    <t>Burden Rate (THB/MHr)</t>
  </si>
  <si>
    <t>Effective Date</t>
  </si>
  <si>
    <t>DIRECT MATERIAL COST BREAKDOWN (BOM)</t>
  </si>
  <si>
    <t>BOM INPUT DATA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</si>
  <si>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</si>
  <si>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</si>
  <si>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</si>
  <si>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</si>
  <si>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</si>
  <si>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</si>
  <si>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(%)</t>
  </si>
  <si>
    <t>Active Loss (%)</t>
  </si>
  <si>
    <t>BOM COST CALCULATION &amp; VARIANCE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</si>
  <si>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</si>
  <si>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</si>
  <si>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</si>
  <si>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</si>
  <si>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</si>
  <si>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</si>
  <si>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</si>
  <si>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</si>
  <si>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</si>
  <si>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</si>
  <si>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</t>
  </si>
  <si>
    <t>Process Name</t>
  </si>
  <si>
    <t>MHr</t>
  </si>
  <si>
    <t>Base Cap (Unit/hr)</t>
  </si>
  <si>
    <t>Active Cap (Unit/hr)</t>
  </si>
  <si>
    <t>Base Yield (%)</t>
  </si>
  <si>
    <t>Active Yield (%)</t>
  </si>
  <si>
    <t>CONVERSION COST CALCULATION &amp; VARIANCE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</si>
  <si>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</si>
  <si>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</si>
  <si>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</si>
  <si>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</si>
  <si>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</si>
  <si>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</si>
  <si>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</si>
  <si>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</si>
  <si>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</si>
  <si>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</si>
  <si>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</si>
  <si>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</si>
  <si>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DYNAMIC COST DRIVER RANKING &amp; EVALUATION ENGINE</t>
  </si>
  <si>
    <t>ID</t>
  </si>
  <si>
    <t>Level 2 Category</t>
  </si>
  <si>
    <t>Level 3 Driver Name</t>
  </si>
  <si>
    <t>Level 4 RCA Parameter</t>
  </si>
  <si>
    <t>Base Parameter</t>
  </si>
  <si>
    <t>Active Parameter</t>
  </si>
  <si>
    <t>Cost Gap (THB / Unit)</t>
  </si>
  <si>
    <t>Tie-Breaker Score</t>
  </si>
  <si>
    <t>COST SUMMARY &amp; VARIANCE COMPARISON</t>
  </si>
  <si>
    <t>REFERENCE STANDARD VS CURRENT STANDARD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</si>
  <si>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</si>
  <si>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</si>
  <si>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</si>
  <si>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</si>
  <si>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</si>
  <si>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</si>
  <si>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Material</t>
  </si>
  <si>
    <t>Level 1</t>
  </si>
  <si>
    <t>Labor</t>
  </si>
  <si>
    <t>Burden</t>
  </si>
  <si>
    <t>Std Total</t>
  </si>
  <si>
    <t>Level 0</t>
  </si>
  <si>
    <t>TOP COST DRIVERS</t>
  </si>
  <si>
    <t>Rank</t>
  </si>
  <si>
    <t>Level 3 Cost Driver (Item / Station)</t>
  </si>
  <si>
    <t>Level 4 RCA Parameter Changed</t>
  </si>
  <si>
    <t>Cost Gap (THB/Unit)</t>
  </si>
  <si>
    <t>% Contribution</t>
  </si>
  <si>
    <t>Controllability</t>
  </si>
  <si>
    <t>Action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</si>
</sst>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#,##0.0000"/>
    <numFmt numFmtId="166" formatCode="0.0"/>
    <numFmt numFmtId="167" formatCode="0.00000000"/>
  </numFmts>
  <fonts count="6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b/>
      <color rgb="FF1E293B"/>
      <sz val="13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E293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outlineLevelRow="0" outlineLevelCol="0" x14ac:dyDescent="55"/>
  <cols>
    <col min="1" max="1" width="32" customWidth="1"/>
    <col min="2" max="3" width="24" customWidth="1"/>
    <col min="4" max="4" width="20" customWidth="1"/>
    <col min="5" max="5" width="32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/>
      <c r="B5" s="4"/>
      <c r="C5" s="4"/>
      <c r="D5" s="4"/>
      <c r="E5" s="4"/>
    </row>
    <row r="7" spans="1:5" x14ac:dyDescent="0.25">
      <c r="A7" s="2" t="s">
        <v>7</v>
      </c>
      <c r="B7" s="2"/>
      <c r="C7" s="2"/>
      <c r="D7" s="2"/>
      <c r="E7" s="2"/>
    </row>
    <row r="8" spans="1:5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6</v>
      </c>
    </row>
    <row r="9" spans="1:5" x14ac:dyDescent="0.25">
      <c r="A9" s="4"/>
      <c r="B9" s="5"/>
      <c r="C9" s="5"/>
      <c r="D9" s="4"/>
      <c r="E9" s="4"/>
    </row>
    <row r="10" spans="1:5" x14ac:dyDescent="0.25">
      <c r="A10" s="4"/>
      <c r="B10" s="5"/>
      <c r="C10" s="5"/>
      <c r="D10" s="4"/>
      <c r="E10" s="4"/>
    </row>
    <row r="11" spans="1:5" x14ac:dyDescent="0.25">
      <c r="A11" s="4"/>
      <c r="B11" s="5"/>
      <c r="C11" s="5"/>
      <c r="D11" s="4"/>
      <c r="E11" s="4"/>
    </row>
    <row r="12" spans="1:5" x14ac:dyDescent="0.25">
      <c r="A12" s="4"/>
      <c r="B12" s="5"/>
      <c r="C12" s="5"/>
      <c r="D12" s="4"/>
      <c r="E12" s="4"/>
    </row>
  </sheetData>
  <mergeCells count="3">
    <mergeCell ref="A1:E1"/>
    <mergeCell ref="A3:E3"/>
    <mergeCell ref="A7:E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44" customWidth="1"/>
    <col min="4" max="5" width="22" customWidth="1"/>
    <col min="6" max="7" width="20" customWidth="1"/>
    <col min="8" max="8" width="22" customWidth="1"/>
  </cols>
  <sheetData>
    <row r="1" spans="1:10" x14ac:dyDescent="0.25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5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6</v>
      </c>
    </row>
    <row r="5" spans="1:10" x14ac:dyDescent="0.25">
      <c r="A5" s="4"/>
      <c r="B5" s="4"/>
      <c r="C5" s="4"/>
      <c r="D5" s="6"/>
      <c r="E5" s="4"/>
      <c r="F5" s="7"/>
      <c r="G5" s="7"/>
      <c r="H5" s="8"/>
      <c r="I5" s="8"/>
      <c r="J5" s="4"/>
    </row>
    <row r="6" spans="1:10" x14ac:dyDescent="0.25">
      <c r="A6" s="4"/>
      <c r="B6" s="4"/>
      <c r="C6" s="4"/>
      <c r="D6" s="6"/>
      <c r="E6" s="4"/>
      <c r="F6" s="7"/>
      <c r="G6" s="7"/>
      <c r="H6" s="8"/>
      <c r="I6" s="8"/>
      <c r="J6" s="4"/>
    </row>
    <row r="7" spans="1:10" x14ac:dyDescent="0.25">
      <c r="A7" s="4"/>
      <c r="B7" s="4"/>
      <c r="C7" s="4"/>
      <c r="D7" s="6"/>
      <c r="E7" s="4"/>
      <c r="F7" s="7"/>
      <c r="G7" s="7"/>
      <c r="H7" s="8"/>
      <c r="I7" s="8"/>
      <c r="J7" s="4"/>
    </row>
    <row r="8" spans="1:10" x14ac:dyDescent="0.25">
      <c r="A8" s="4"/>
      <c r="B8" s="4"/>
      <c r="C8" s="4"/>
      <c r="D8" s="6"/>
      <c r="E8" s="4"/>
      <c r="F8" s="7"/>
      <c r="G8" s="7"/>
      <c r="H8" s="8"/>
      <c r="I8" s="8"/>
      <c r="J8" s="4"/>
    </row>
    <row r="9" spans="1:10" x14ac:dyDescent="0.25">
      <c r="A9" s="4"/>
      <c r="B9" s="4"/>
      <c r="C9" s="4"/>
      <c r="D9" s="6"/>
      <c r="E9" s="4"/>
      <c r="F9" s="7"/>
      <c r="G9" s="7"/>
      <c r="H9" s="8"/>
      <c r="I9" s="8"/>
      <c r="J9" s="4"/>
    </row>
    <row r="10" spans="1:10" x14ac:dyDescent="0.25">
      <c r="A10" s="4"/>
      <c r="B10" s="4"/>
      <c r="C10" s="4"/>
      <c r="D10" s="6"/>
      <c r="E10" s="4"/>
      <c r="F10" s="7"/>
      <c r="G10" s="7"/>
      <c r="H10" s="8"/>
      <c r="I10" s="8"/>
      <c r="J10" s="4"/>
    </row>
    <row r="11" spans="1:10" x14ac:dyDescent="0.25">
      <c r="A11" s="4"/>
      <c r="B11" s="4"/>
      <c r="C11" s="4"/>
      <c r="D11" s="6"/>
      <c r="E11" s="4"/>
      <c r="F11" s="7"/>
      <c r="G11" s="7"/>
      <c r="H11" s="8"/>
      <c r="I11" s="8"/>
      <c r="J11" s="4"/>
    </row>
    <row r="12" spans="1:10" x14ac:dyDescent="0.25">
      <c r="A12" s="4"/>
      <c r="B12" s="4"/>
      <c r="C12" s="4"/>
      <c r="D12" s="6"/>
      <c r="E12" s="4"/>
      <c r="F12" s="7"/>
      <c r="G12" s="7"/>
      <c r="H12" s="8"/>
      <c r="I12" s="8"/>
      <c r="J12" s="4"/>
    </row>
    <row r="13" spans="1:10" x14ac:dyDescent="0.25">
      <c r="A13" s="4"/>
      <c r="B13" s="4"/>
      <c r="C13" s="4"/>
      <c r="D13" s="6"/>
      <c r="E13" s="4"/>
      <c r="F13" s="7"/>
      <c r="G13" s="7"/>
      <c r="H13" s="8"/>
      <c r="I13" s="8"/>
      <c r="J13" s="4"/>
    </row>
    <row r="14" spans="1:10" x14ac:dyDescent="0.25">
      <c r="A14" s="4"/>
      <c r="B14" s="4"/>
      <c r="C14" s="4"/>
      <c r="D14" s="6"/>
      <c r="E14" s="4"/>
      <c r="F14" s="7"/>
      <c r="G14" s="7"/>
      <c r="H14" s="8"/>
      <c r="I14" s="8"/>
      <c r="J14" s="4"/>
    </row>
    <row r="15" spans="1:10" x14ac:dyDescent="0.25">
      <c r="A15" s="4"/>
      <c r="B15" s="4"/>
      <c r="C15" s="4"/>
      <c r="D15" s="6"/>
      <c r="E15" s="4"/>
      <c r="F15" s="7"/>
      <c r="G15" s="7"/>
      <c r="H15" s="8"/>
      <c r="I15" s="8"/>
      <c r="J15" s="4"/>
    </row>
    <row r="16" spans="1:10" x14ac:dyDescent="0.25">
      <c r="A16" s="4"/>
      <c r="B16" s="4"/>
      <c r="C16" s="4"/>
      <c r="D16" s="6"/>
      <c r="E16" s="4"/>
      <c r="F16" s="7"/>
      <c r="G16" s="7"/>
      <c r="H16" s="8"/>
      <c r="I16" s="8"/>
      <c r="J16" s="4"/>
    </row>
    <row r="17" spans="1:10" x14ac:dyDescent="0.25">
      <c r="A17" s="4"/>
      <c r="B17" s="4"/>
      <c r="C17" s="4"/>
      <c r="D17" s="6"/>
      <c r="E17" s="4"/>
      <c r="F17" s="7"/>
      <c r="G17" s="7"/>
      <c r="H17" s="8"/>
      <c r="I17" s="8"/>
      <c r="J17" s="4"/>
    </row>
    <row r="18" spans="1:10" x14ac:dyDescent="0.25">
      <c r="A18" s="4"/>
      <c r="B18" s="4"/>
      <c r="C18" s="4"/>
      <c r="D18" s="6"/>
      <c r="E18" s="4"/>
      <c r="F18" s="7"/>
      <c r="G18" s="7"/>
      <c r="H18" s="8"/>
      <c r="I18" s="8"/>
      <c r="J18" s="4"/>
    </row>
    <row r="19" spans="1:10" x14ac:dyDescent="0.25">
      <c r="A19" s="4"/>
      <c r="B19" s="4"/>
      <c r="C19" s="4"/>
      <c r="D19" s="6"/>
      <c r="E19" s="4"/>
      <c r="F19" s="7"/>
      <c r="G19" s="7"/>
      <c r="H19" s="8"/>
      <c r="I19" s="8"/>
      <c r="J19" s="4"/>
    </row>
    <row r="20" spans="1:10" x14ac:dyDescent="0.25">
      <c r="A20" s="4"/>
      <c r="B20" s="4"/>
      <c r="C20" s="4"/>
      <c r="D20" s="6"/>
      <c r="E20" s="4"/>
      <c r="F20" s="7"/>
      <c r="G20" s="7"/>
      <c r="H20" s="8"/>
      <c r="I20" s="8"/>
      <c r="J20" s="4"/>
    </row>
    <row r="22" spans="1:8" x14ac:dyDescent="0.25">
      <c r="A22" s="2" t="s">
        <v>22</v>
      </c>
      <c r="B22" s="2"/>
      <c r="C22" s="2"/>
      <c r="D22" s="2"/>
      <c r="E22" s="2"/>
      <c r="F22" s="2"/>
      <c r="G22" s="2"/>
      <c r="H22" s="2"/>
    </row>
    <row r="23" spans="1:8" x14ac:dyDescent="0.25">
      <c r="A23" s="3" t="s">
        <v>14</v>
      </c>
      <c r="B23" s="3" t="s">
        <v>15</v>
      </c>
      <c r="C23" s="3" t="s">
        <v>16</v>
      </c>
      <c r="D23" s="3" t="s">
        <v>23</v>
      </c>
      <c r="E23" s="3" t="s">
        <v>24</v>
      </c>
      <c r="F23" s="3" t="s">
        <v>25</v>
      </c>
      <c r="G23" s="3" t="s">
        <v>26</v>
      </c>
      <c r="H23" s="3" t="s">
        <v>27</v>
      </c>
    </row>
    <row r="24" spans="1:8" x14ac:dyDescent="0.25">
      <c r="A24" s="9">
        <f>IFERROR(IF(A5="","",A5),"")</f>
      </c>
      <c r="B24" s="9">
        <f>IFERROR(IF(B5="","",B5),"")</f>
      </c>
      <c r="C24" s="9">
        <f>IFERROR(IF(C5="","",C5),"")</f>
      </c>
      <c r="D24" s="10">
        <f>IFERROR(IF(OR(D5="", F5="", H5="", H5&gt;=1), "", (D5*F5)/(1-H5)), "")</f>
      </c>
      <c r="E24" s="10">
        <f>IFERROR(IF(OR(D5="", G5="", I5="", I5&gt;=1), "", (D5*G5)/(1-I5)), "")</f>
      </c>
      <c r="F24" s="10">
        <f>IFERROR(IF(OR(D5="", F5="", G5="", H5="", H5&gt;=1, D24=""), "", ((D5*G5)/(1-H5))-D24), "")</f>
      </c>
      <c r="G24" s="10">
        <f>IFERROR(IF(OR(D5="", G5="", H5="", I5="", H5&gt;=1, I5&gt;=1, E24=""), "", E24-((D5*G5)/(1-H5))), "")</f>
      </c>
      <c r="H24" s="10">
        <f>IFERROR(IF(OR(D24="", E24=""), "", E24-D24), "")</f>
      </c>
    </row>
    <row r="25" spans="1:8" x14ac:dyDescent="0.25">
      <c r="A25" s="9">
        <f>IFERROR(IF(A6="","",A6),"")</f>
      </c>
      <c r="B25" s="9">
        <f>IFERROR(IF(B6="","",B6),"")</f>
      </c>
      <c r="C25" s="9">
        <f>IFERROR(IF(C6="","",C6),"")</f>
      </c>
      <c r="D25" s="10">
        <f>IFERROR(IF(OR(D6="", F6="", H6="", H6&gt;=1), "", (D6*F6)/(1-H6)), "")</f>
      </c>
      <c r="E25" s="10">
        <f>IFERROR(IF(OR(D6="", G6="", I6="", I6&gt;=1), "", (D6*G6)/(1-I6)), "")</f>
      </c>
      <c r="F25" s="10">
        <f>IFERROR(IF(OR(D6="", F6="", G6="", H6="", H6&gt;=1, D25=""), "", ((D6*G6)/(1-H6))-D25), "")</f>
      </c>
      <c r="G25" s="10">
        <f>IFERROR(IF(OR(D6="", G6="", H6="", I6="", H6&gt;=1, I6&gt;=1, E25=""), "", E25-((D6*G6)/(1-H6))), "")</f>
      </c>
      <c r="H25" s="10">
        <f>IFERROR(IF(OR(D25="", E25=""), "", E25-D25), "")</f>
      </c>
    </row>
    <row r="26" spans="1:8" x14ac:dyDescent="0.25">
      <c r="A26" s="9">
        <f>IFERROR(IF(A7="","",A7),"")</f>
      </c>
      <c r="B26" s="9">
        <f>IFERROR(IF(B7="","",B7),"")</f>
      </c>
      <c r="C26" s="9">
        <f>IFERROR(IF(C7="","",C7),"")</f>
      </c>
      <c r="D26" s="10">
        <f>IFERROR(IF(OR(D7="", F7="", H7="", H7&gt;=1), "", (D7*F7)/(1-H7)), "")</f>
      </c>
      <c r="E26" s="10">
        <f>IFERROR(IF(OR(D7="", G7="", I7="", I7&gt;=1), "", (D7*G7)/(1-I7)), "")</f>
      </c>
      <c r="F26" s="10">
        <f>IFERROR(IF(OR(D7="", F7="", G7="", H7="", H7&gt;=1, D26=""), "", ((D7*G7)/(1-H7))-D26), "")</f>
      </c>
      <c r="G26" s="10">
        <f>IFERROR(IF(OR(D7="", G7="", H7="", I7="", H7&gt;=1, I7&gt;=1, E26=""), "", E26-((D7*G7)/(1-H7))), "")</f>
      </c>
      <c r="H26" s="10">
        <f>IFERROR(IF(OR(D26="", E26=""), "", E26-D26), "")</f>
      </c>
    </row>
    <row r="27" spans="1:8" x14ac:dyDescent="0.25">
      <c r="A27" s="9">
        <f>IFERROR(IF(A8="","",A8),"")</f>
      </c>
      <c r="B27" s="9">
        <f>IFERROR(IF(B8="","",B8),"")</f>
      </c>
      <c r="C27" s="9">
        <f>IFERROR(IF(C8="","",C8),"")</f>
      </c>
      <c r="D27" s="10">
        <f>IFERROR(IF(OR(D8="", F8="", H8="", H8&gt;=1), "", (D8*F8)/(1-H8)), "")</f>
      </c>
      <c r="E27" s="10">
        <f>IFERROR(IF(OR(D8="", G8="", I8="", I8&gt;=1), "", (D8*G8)/(1-I8)), "")</f>
      </c>
      <c r="F27" s="10">
        <f>IFERROR(IF(OR(D8="", F8="", G8="", H8="", H8&gt;=1, D27=""), "", ((D8*G8)/(1-H8))-D27), "")</f>
      </c>
      <c r="G27" s="10">
        <f>IFERROR(IF(OR(D8="", G8="", H8="", I8="", H8&gt;=1, I8&gt;=1, E27=""), "", E27-((D8*G8)/(1-H8))), "")</f>
      </c>
      <c r="H27" s="10">
        <f>IFERROR(IF(OR(D27="", E27=""), "", E27-D27), "")</f>
      </c>
    </row>
    <row r="28" spans="1:8" x14ac:dyDescent="0.25">
      <c r="A28" s="9">
        <f>IFERROR(IF(A9="","",A9),"")</f>
      </c>
      <c r="B28" s="9">
        <f>IFERROR(IF(B9="","",B9),"")</f>
      </c>
      <c r="C28" s="9">
        <f>IFERROR(IF(C9="","",C9),"")</f>
      </c>
      <c r="D28" s="10">
        <f>IFERROR(IF(OR(D9="", F9="", H9="", H9&gt;=1), "", (D9*F9)/(1-H9)), "")</f>
      </c>
      <c r="E28" s="10">
        <f>IFERROR(IF(OR(D9="", G9="", I9="", I9&gt;=1), "", (D9*G9)/(1-I9)), "")</f>
      </c>
      <c r="F28" s="10">
        <f>IFERROR(IF(OR(D9="", F9="", G9="", H9="", H9&gt;=1, D28=""), "", ((D9*G9)/(1-H9))-D28), "")</f>
      </c>
      <c r="G28" s="10">
        <f>IFERROR(IF(OR(D9="", G9="", H9="", I9="", H9&gt;=1, I9&gt;=1, E28=""), "", E28-((D9*G9)/(1-H9))), "")</f>
      </c>
      <c r="H28" s="10">
        <f>IFERROR(IF(OR(D28="", E28=""), "", E28-D28), "")</f>
      </c>
    </row>
    <row r="29" spans="1:8" x14ac:dyDescent="0.25">
      <c r="A29" s="9">
        <f>IFERROR(IF(A10="","",A10),"")</f>
      </c>
      <c r="B29" s="9">
        <f>IFERROR(IF(B10="","",B10),"")</f>
      </c>
      <c r="C29" s="9">
        <f>IFERROR(IF(C10="","",C10),"")</f>
      </c>
      <c r="D29" s="10">
        <f>IFERROR(IF(OR(D10="", F10="", H10="", H10&gt;=1), "", (D10*F10)/(1-H10)), "")</f>
      </c>
      <c r="E29" s="10">
        <f>IFERROR(IF(OR(D10="", G10="", I10="", I10&gt;=1), "", (D10*G10)/(1-I10)), "")</f>
      </c>
      <c r="F29" s="10">
        <f>IFERROR(IF(OR(D10="", F10="", G10="", H10="", H10&gt;=1, D29=""), "", ((D10*G10)/(1-H10))-D29), "")</f>
      </c>
      <c r="G29" s="10">
        <f>IFERROR(IF(OR(D10="", G10="", H10="", I10="", H10&gt;=1, I10&gt;=1, E29=""), "", E29-((D10*G10)/(1-H10))), "")</f>
      </c>
      <c r="H29" s="10">
        <f>IFERROR(IF(OR(D29="", E29=""), "", E29-D29), "")</f>
      </c>
    </row>
    <row r="30" spans="1:8" x14ac:dyDescent="0.25">
      <c r="A30" s="9">
        <f>IFERROR(IF(A11="","",A11),"")</f>
      </c>
      <c r="B30" s="9">
        <f>IFERROR(IF(B11="","",B11),"")</f>
      </c>
      <c r="C30" s="9">
        <f>IFERROR(IF(C11="","",C11),"")</f>
      </c>
      <c r="D30" s="10">
        <f>IFERROR(IF(OR(D11="", F11="", H11="", H11&gt;=1), "", (D11*F11)/(1-H11)), "")</f>
      </c>
      <c r="E30" s="10">
        <f>IFERROR(IF(OR(D11="", G11="", I11="", I11&gt;=1), "", (D11*G11)/(1-I11)), "")</f>
      </c>
      <c r="F30" s="10">
        <f>IFERROR(IF(OR(D11="", F11="", G11="", H11="", H11&gt;=1, D30=""), "", ((D11*G11)/(1-H11))-D30), "")</f>
      </c>
      <c r="G30" s="10">
        <f>IFERROR(IF(OR(D11="", G11="", H11="", I11="", H11&gt;=1, I11&gt;=1, E30=""), "", E30-((D11*G11)/(1-H11))), "")</f>
      </c>
      <c r="H30" s="10">
        <f>IFERROR(IF(OR(D30="", E30=""), "", E30-D30), "")</f>
      </c>
    </row>
    <row r="31" spans="1:8" x14ac:dyDescent="0.25">
      <c r="A31" s="9">
        <f>IFERROR(IF(A12="","",A12),"")</f>
      </c>
      <c r="B31" s="9">
        <f>IFERROR(IF(B12="","",B12),"")</f>
      </c>
      <c r="C31" s="9">
        <f>IFERROR(IF(C12="","",C12),"")</f>
      </c>
      <c r="D31" s="10">
        <f>IFERROR(IF(OR(D12="", F12="", H12="", H12&gt;=1), "", (D12*F12)/(1-H12)), "")</f>
      </c>
      <c r="E31" s="10">
        <f>IFERROR(IF(OR(D12="", G12="", I12="", I12&gt;=1), "", (D12*G12)/(1-I12)), "")</f>
      </c>
      <c r="F31" s="10">
        <f>IFERROR(IF(OR(D12="", F12="", G12="", H12="", H12&gt;=1, D31=""), "", ((D12*G12)/(1-H12))-D31), "")</f>
      </c>
      <c r="G31" s="10">
        <f>IFERROR(IF(OR(D12="", G12="", H12="", I12="", H12&gt;=1, I12&gt;=1, E31=""), "", E31-((D12*G12)/(1-H12))), "")</f>
      </c>
      <c r="H31" s="10">
        <f>IFERROR(IF(OR(D31="", E31=""), "", E31-D31), "")</f>
      </c>
    </row>
    <row r="32" spans="1:8" x14ac:dyDescent="0.25">
      <c r="A32" s="9">
        <f>IFERROR(IF(A13="","",A13),"")</f>
      </c>
      <c r="B32" s="9">
        <f>IFERROR(IF(B13="","",B13),"")</f>
      </c>
      <c r="C32" s="9">
        <f>IFERROR(IF(C13="","",C13),"")</f>
      </c>
      <c r="D32" s="10">
        <f>IFERROR(IF(OR(D13="", F13="", H13="", H13&gt;=1), "", (D13*F13)/(1-H13)), "")</f>
      </c>
      <c r="E32" s="10">
        <f>IFERROR(IF(OR(D13="", G13="", I13="", I13&gt;=1), "", (D13*G13)/(1-I13)), "")</f>
      </c>
      <c r="F32" s="10">
        <f>IFERROR(IF(OR(D13="", F13="", G13="", H13="", H13&gt;=1, D32=""), "", ((D13*G13)/(1-H13))-D32), "")</f>
      </c>
      <c r="G32" s="10">
        <f>IFERROR(IF(OR(D13="", G13="", H13="", I13="", H13&gt;=1, I13&gt;=1, E32=""), "", E32-((D13*G13)/(1-H13))), "")</f>
      </c>
      <c r="H32" s="10">
        <f>IFERROR(IF(OR(D32="", E32=""), "", E32-D32), "")</f>
      </c>
    </row>
    <row r="33" spans="1:8" x14ac:dyDescent="0.25">
      <c r="A33" s="9">
        <f>IFERROR(IF(A14="","",A14),"")</f>
      </c>
      <c r="B33" s="9">
        <f>IFERROR(IF(B14="","",B14),"")</f>
      </c>
      <c r="C33" s="9">
        <f>IFERROR(IF(C14="","",C14),"")</f>
      </c>
      <c r="D33" s="10">
        <f>IFERROR(IF(OR(D14="", F14="", H14="", H14&gt;=1), "", (D14*F14)/(1-H14)), "")</f>
      </c>
      <c r="E33" s="10">
        <f>IFERROR(IF(OR(D14="", G14="", I14="", I14&gt;=1), "", (D14*G14)/(1-I14)), "")</f>
      </c>
      <c r="F33" s="10">
        <f>IFERROR(IF(OR(D14="", F14="", G14="", H14="", H14&gt;=1, D33=""), "", ((D14*G14)/(1-H14))-D33), "")</f>
      </c>
      <c r="G33" s="10">
        <f>IFERROR(IF(OR(D14="", G14="", H14="", I14="", H14&gt;=1, I14&gt;=1, E33=""), "", E33-((D14*G14)/(1-H14))), "")</f>
      </c>
      <c r="H33" s="10">
        <f>IFERROR(IF(OR(D33="", E33=""), "", E33-D33), "")</f>
      </c>
    </row>
    <row r="34" spans="1:8" x14ac:dyDescent="0.25">
      <c r="A34" s="9">
        <f>IFERROR(IF(A15="","",A15),"")</f>
      </c>
      <c r="B34" s="9">
        <f>IFERROR(IF(B15="","",B15),"")</f>
      </c>
      <c r="C34" s="9">
        <f>IFERROR(IF(C15="","",C15),"")</f>
      </c>
      <c r="D34" s="10">
        <f>IFERROR(IF(OR(D15="", F15="", H15="", H15&gt;=1), "", (D15*F15)/(1-H15)), "")</f>
      </c>
      <c r="E34" s="10">
        <f>IFERROR(IF(OR(D15="", G15="", I15="", I15&gt;=1), "", (D15*G15)/(1-I15)), "")</f>
      </c>
      <c r="F34" s="10">
        <f>IFERROR(IF(OR(D15="", F15="", G15="", H15="", H15&gt;=1, D34=""), "", ((D15*G15)/(1-H15))-D34), "")</f>
      </c>
      <c r="G34" s="10">
        <f>IFERROR(IF(OR(D15="", G15="", H15="", I15="", H15&gt;=1, I15&gt;=1, E34=""), "", E34-((D15*G15)/(1-H15))), "")</f>
      </c>
      <c r="H34" s="10">
        <f>IFERROR(IF(OR(D34="", E34=""), "", E34-D34), "")</f>
      </c>
    </row>
    <row r="35" spans="1:8" x14ac:dyDescent="0.25">
      <c r="A35" s="9">
        <f>IFERROR(IF(A16="","",A16),"")</f>
      </c>
      <c r="B35" s="9">
        <f>IFERROR(IF(B16="","",B16),"")</f>
      </c>
      <c r="C35" s="9">
        <f>IFERROR(IF(C16="","",C16),"")</f>
      </c>
      <c r="D35" s="10">
        <f>IFERROR(IF(OR(D16="", F16="", H16="", H16&gt;=1), "", (D16*F16)/(1-H16)), "")</f>
      </c>
      <c r="E35" s="10">
        <f>IFERROR(IF(OR(D16="", G16="", I16="", I16&gt;=1), "", (D16*G16)/(1-I16)), "")</f>
      </c>
      <c r="F35" s="10">
        <f>IFERROR(IF(OR(D16="", F16="", G16="", H16="", H16&gt;=1, D35=""), "", ((D16*G16)/(1-H16))-D35), "")</f>
      </c>
      <c r="G35" s="10">
        <f>IFERROR(IF(OR(D16="", G16="", H16="", I16="", H16&gt;=1, I16&gt;=1, E35=""), "", E35-((D16*G16)/(1-H16))), "")</f>
      </c>
      <c r="H35" s="10">
        <f>IFERROR(IF(OR(D35="", E35=""), "", E35-D35), "")</f>
      </c>
    </row>
    <row r="36" spans="1:8" x14ac:dyDescent="0.25">
      <c r="A36" s="9">
        <f>IFERROR(IF(A17="","",A17),"")</f>
      </c>
      <c r="B36" s="9">
        <f>IFERROR(IF(B17="","",B17),"")</f>
      </c>
      <c r="C36" s="9">
        <f>IFERROR(IF(C17="","",C17),"")</f>
      </c>
      <c r="D36" s="10">
        <f>IFERROR(IF(OR(D17="", F17="", H17="", H17&gt;=1), "", (D17*F17)/(1-H17)), "")</f>
      </c>
      <c r="E36" s="10">
        <f>IFERROR(IF(OR(D17="", G17="", I17="", I17&gt;=1), "", (D17*G17)/(1-I17)), "")</f>
      </c>
      <c r="F36" s="10">
        <f>IFERROR(IF(OR(D17="", F17="", G17="", H17="", H17&gt;=1, D36=""), "", ((D17*G17)/(1-H17))-D36), "")</f>
      </c>
      <c r="G36" s="10">
        <f>IFERROR(IF(OR(D17="", G17="", H17="", I17="", H17&gt;=1, I17&gt;=1, E36=""), "", E36-((D17*G17)/(1-H17))), "")</f>
      </c>
      <c r="H36" s="10">
        <f>IFERROR(IF(OR(D36="", E36=""), "", E36-D36), "")</f>
      </c>
    </row>
    <row r="37" spans="1:8" x14ac:dyDescent="0.25">
      <c r="A37" s="9">
        <f>IFERROR(IF(A18="","",A18),"")</f>
      </c>
      <c r="B37" s="9">
        <f>IFERROR(IF(B18="","",B18),"")</f>
      </c>
      <c r="C37" s="9">
        <f>IFERROR(IF(C18="","",C18),"")</f>
      </c>
      <c r="D37" s="10">
        <f>IFERROR(IF(OR(D18="", F18="", H18="", H18&gt;=1), "", (D18*F18)/(1-H18)), "")</f>
      </c>
      <c r="E37" s="10">
        <f>IFERROR(IF(OR(D18="", G18="", I18="", I18&gt;=1), "", (D18*G18)/(1-I18)), "")</f>
      </c>
      <c r="F37" s="10">
        <f>IFERROR(IF(OR(D18="", F18="", G18="", H18="", H18&gt;=1, D37=""), "", ((D18*G18)/(1-H18))-D37), "")</f>
      </c>
      <c r="G37" s="10">
        <f>IFERROR(IF(OR(D18="", G18="", H18="", I18="", H18&gt;=1, I18&gt;=1, E37=""), "", E37-((D18*G18)/(1-H18))), "")</f>
      </c>
      <c r="H37" s="10">
        <f>IFERROR(IF(OR(D37="", E37=""), "", E37-D37), "")</f>
      </c>
    </row>
    <row r="38" spans="1:8" x14ac:dyDescent="0.25">
      <c r="A38" s="9">
        <f>IFERROR(IF(A19="","",A19),"")</f>
      </c>
      <c r="B38" s="9">
        <f>IFERROR(IF(B19="","",B19),"")</f>
      </c>
      <c r="C38" s="9">
        <f>IFERROR(IF(C19="","",C19),"")</f>
      </c>
      <c r="D38" s="10">
        <f>IFERROR(IF(OR(D19="", F19="", H19="", H19&gt;=1), "", (D19*F19)/(1-H19)), "")</f>
      </c>
      <c r="E38" s="10">
        <f>IFERROR(IF(OR(D19="", G19="", I19="", I19&gt;=1), "", (D19*G19)/(1-I19)), "")</f>
      </c>
      <c r="F38" s="10">
        <f>IFERROR(IF(OR(D19="", F19="", G19="", H19="", H19&gt;=1, D38=""), "", ((D19*G19)/(1-H19))-D38), "")</f>
      </c>
      <c r="G38" s="10">
        <f>IFERROR(IF(OR(D19="", G19="", H19="", I19="", H19&gt;=1, I19&gt;=1, E38=""), "", E38-((D19*G19)/(1-H19))), "")</f>
      </c>
      <c r="H38" s="10">
        <f>IFERROR(IF(OR(D38="", E38=""), "", E38-D38), "")</f>
      </c>
    </row>
    <row r="39" spans="1:8" x14ac:dyDescent="0.25">
      <c r="A39" s="9">
        <f>IFERROR(IF(A20="","",A20),"")</f>
      </c>
      <c r="B39" s="9">
        <f>IFERROR(IF(B20="","",B20),"")</f>
      </c>
      <c r="C39" s="9">
        <f>IFERROR(IF(C20="","",C20),"")</f>
      </c>
      <c r="D39" s="10">
        <f>IFERROR(IF(OR(D20="", F20="", H20="", H20&gt;=1), "", (D20*F20)/(1-H20)), "")</f>
      </c>
      <c r="E39" s="10">
        <f>IFERROR(IF(OR(D20="", G20="", I20="", I20&gt;=1), "", (D20*G20)/(1-I20)), "")</f>
      </c>
      <c r="F39" s="10">
        <f>IFERROR(IF(OR(D20="", F20="", G20="", H20="", H20&gt;=1, D39=""), "", ((D20*G20)/(1-H20))-D39), "")</f>
      </c>
      <c r="G39" s="10">
        <f>IFERROR(IF(OR(D20="", G20="", H20="", I20="", H20&gt;=1, I20&gt;=1, E39=""), "", E39-((D20*G20)/(1-H20))), "")</f>
      </c>
      <c r="H39" s="10">
        <f>IFERROR(IF(OR(D39="", E39=""), "", E39-D39), "")</f>
      </c>
    </row>
    <row r="40" spans="1:8" x14ac:dyDescent="0.25">
      <c r="A40" s="11" t="s">
        <v>28</v>
      </c>
      <c r="B40" s="11" t="s">
        <v>29</v>
      </c>
      <c r="C40" s="11" t="s">
        <v>29</v>
      </c>
      <c r="D40" s="12">
        <f>IFERROR(IF(SUM(D24:D39)=0, "", SUM(D24:D39)), "")</f>
      </c>
      <c r="E40" s="12">
        <f>IFERROR(IF(SUM(E24:E39)=0, "", SUM(E24:E39)), "")</f>
      </c>
      <c r="F40" s="12">
        <f>IFERROR(IF(SUM(F24:F39)=0, "", SUM(F24:F39)), "")</f>
      </c>
      <c r="G40" s="12">
        <f>IFERROR(IF(SUM(G24:G39)=0, "", SUM(G24:G39)), "")</f>
      </c>
      <c r="H40" s="12">
        <f>IFERROR(IF(SUM(H24:H39)=0, "", SUM(H24:H39)), "")</f>
      </c>
    </row>
  </sheetData>
  <mergeCells count="3">
    <mergeCell ref="A1:J1"/>
    <mergeCell ref="A3:J3"/>
    <mergeCell ref="A22:H2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64" customWidth="1"/>
    <col min="4" max="4" width="28" customWidth="1"/>
    <col min="5" max="6" width="24" customWidth="1"/>
    <col min="7" max="9" width="22" customWidth="1"/>
    <col min="10" max="10" width="20" customWidth="1"/>
    <col min="11" max="12" width="22" customWidth="1"/>
    <col min="13" max="13" width="20" customWidth="1"/>
    <col min="14" max="14" width="26" customWidth="1"/>
    <col min="15" max="15" width="28" customWidth="1"/>
    <col min="16" max="16" width="24" customWidth="1"/>
  </cols>
  <sheetData>
    <row r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3" spans="1:10" x14ac:dyDescent="0.25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3" t="s">
        <v>32</v>
      </c>
      <c r="B4" s="3" t="s">
        <v>33</v>
      </c>
      <c r="C4" s="3" t="s">
        <v>34</v>
      </c>
      <c r="D4" s="3" t="s">
        <v>8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6</v>
      </c>
    </row>
    <row r="5" spans="1:10" x14ac:dyDescent="0.25">
      <c r="A5" s="4"/>
      <c r="B5" s="4"/>
      <c r="C5" s="4"/>
      <c r="D5" s="4"/>
      <c r="E5" s="13"/>
      <c r="F5" s="14"/>
      <c r="G5" s="14"/>
      <c r="H5" s="8"/>
      <c r="I5" s="8"/>
      <c r="J5" s="4"/>
    </row>
    <row r="6" spans="1:10" x14ac:dyDescent="0.25">
      <c r="A6" s="4"/>
      <c r="B6" s="4"/>
      <c r="C6" s="4"/>
      <c r="D6" s="4"/>
      <c r="E6" s="13"/>
      <c r="F6" s="14"/>
      <c r="G6" s="14"/>
      <c r="H6" s="8"/>
      <c r="I6" s="8"/>
      <c r="J6" s="4"/>
    </row>
    <row r="7" spans="1:10" x14ac:dyDescent="0.25">
      <c r="A7" s="4"/>
      <c r="B7" s="4"/>
      <c r="C7" s="4"/>
      <c r="D7" s="4"/>
      <c r="E7" s="13"/>
      <c r="F7" s="14"/>
      <c r="G7" s="14"/>
      <c r="H7" s="8"/>
      <c r="I7" s="8"/>
      <c r="J7" s="4"/>
    </row>
    <row r="8" spans="1:10" x14ac:dyDescent="0.25">
      <c r="A8" s="4"/>
      <c r="B8" s="4"/>
      <c r="C8" s="4"/>
      <c r="D8" s="4"/>
      <c r="E8" s="13"/>
      <c r="F8" s="14"/>
      <c r="G8" s="14"/>
      <c r="H8" s="8"/>
      <c r="I8" s="8"/>
      <c r="J8" s="4"/>
    </row>
    <row r="9" spans="1:10" x14ac:dyDescent="0.25">
      <c r="A9" s="4"/>
      <c r="B9" s="4"/>
      <c r="C9" s="4"/>
      <c r="D9" s="4"/>
      <c r="E9" s="13"/>
      <c r="F9" s="14"/>
      <c r="G9" s="14"/>
      <c r="H9" s="8"/>
      <c r="I9" s="8"/>
      <c r="J9" s="4"/>
    </row>
    <row r="10" spans="1:10" x14ac:dyDescent="0.25">
      <c r="A10" s="4"/>
      <c r="B10" s="4"/>
      <c r="C10" s="4"/>
      <c r="D10" s="4"/>
      <c r="E10" s="13"/>
      <c r="F10" s="14"/>
      <c r="G10" s="14"/>
      <c r="H10" s="8"/>
      <c r="I10" s="8"/>
      <c r="J10" s="4"/>
    </row>
    <row r="11" spans="1:10" x14ac:dyDescent="0.25">
      <c r="A11" s="4"/>
      <c r="B11" s="4"/>
      <c r="C11" s="4"/>
      <c r="D11" s="4"/>
      <c r="E11" s="13"/>
      <c r="F11" s="14"/>
      <c r="G11" s="14"/>
      <c r="H11" s="8"/>
      <c r="I11" s="8"/>
      <c r="J11" s="4"/>
    </row>
    <row r="12" spans="1:10" x14ac:dyDescent="0.25">
      <c r="A12" s="4"/>
      <c r="B12" s="4"/>
      <c r="C12" s="4"/>
      <c r="D12" s="4"/>
      <c r="E12" s="13"/>
      <c r="F12" s="14"/>
      <c r="G12" s="14"/>
      <c r="H12" s="8"/>
      <c r="I12" s="8"/>
      <c r="J12" s="4"/>
    </row>
    <row r="13" spans="1:10" x14ac:dyDescent="0.25">
      <c r="A13" s="4"/>
      <c r="B13" s="4"/>
      <c r="C13" s="4"/>
      <c r="D13" s="4"/>
      <c r="E13" s="13"/>
      <c r="F13" s="14"/>
      <c r="G13" s="14"/>
      <c r="H13" s="8"/>
      <c r="I13" s="8"/>
      <c r="J13" s="4"/>
    </row>
    <row r="14" spans="1:10" x14ac:dyDescent="0.25">
      <c r="A14" s="4"/>
      <c r="B14" s="4"/>
      <c r="C14" s="4"/>
      <c r="D14" s="4"/>
      <c r="E14" s="13"/>
      <c r="F14" s="14"/>
      <c r="G14" s="14"/>
      <c r="H14" s="8"/>
      <c r="I14" s="8"/>
      <c r="J14" s="4"/>
    </row>
    <row r="15" spans="1:10" x14ac:dyDescent="0.25">
      <c r="A15" s="4"/>
      <c r="B15" s="4"/>
      <c r="C15" s="4"/>
      <c r="D15" s="4"/>
      <c r="E15" s="13"/>
      <c r="F15" s="14"/>
      <c r="G15" s="14"/>
      <c r="H15" s="8"/>
      <c r="I15" s="8"/>
      <c r="J15" s="4"/>
    </row>
    <row r="16" spans="1:10" x14ac:dyDescent="0.25">
      <c r="A16" s="4"/>
      <c r="B16" s="4"/>
      <c r="C16" s="4"/>
      <c r="D16" s="4"/>
      <c r="E16" s="13"/>
      <c r="F16" s="14"/>
      <c r="G16" s="14"/>
      <c r="H16" s="8"/>
      <c r="I16" s="8"/>
      <c r="J16" s="4"/>
    </row>
    <row r="17" spans="1:10" x14ac:dyDescent="0.25">
      <c r="A17" s="4"/>
      <c r="B17" s="4"/>
      <c r="C17" s="4"/>
      <c r="D17" s="4"/>
      <c r="E17" s="13"/>
      <c r="F17" s="14"/>
      <c r="G17" s="14"/>
      <c r="H17" s="8"/>
      <c r="I17" s="8"/>
      <c r="J17" s="4"/>
    </row>
    <row r="18" spans="1:10" x14ac:dyDescent="0.25">
      <c r="A18" s="4"/>
      <c r="B18" s="4"/>
      <c r="C18" s="4"/>
      <c r="D18" s="4"/>
      <c r="E18" s="13"/>
      <c r="F18" s="14"/>
      <c r="G18" s="14"/>
      <c r="H18" s="8"/>
      <c r="I18" s="8"/>
      <c r="J18" s="4"/>
    </row>
    <row r="19" spans="1:10" x14ac:dyDescent="0.25">
      <c r="A19" s="4"/>
      <c r="B19" s="4"/>
      <c r="C19" s="4"/>
      <c r="D19" s="4"/>
      <c r="E19" s="13"/>
      <c r="F19" s="14"/>
      <c r="G19" s="14"/>
      <c r="H19" s="8"/>
      <c r="I19" s="8"/>
      <c r="J19" s="4"/>
    </row>
    <row r="20" spans="1:10" x14ac:dyDescent="0.25">
      <c r="A20" s="4"/>
      <c r="B20" s="4"/>
      <c r="C20" s="4"/>
      <c r="D20" s="4"/>
      <c r="E20" s="13"/>
      <c r="F20" s="14"/>
      <c r="G20" s="14"/>
      <c r="H20" s="8"/>
      <c r="I20" s="8"/>
      <c r="J20" s="4"/>
    </row>
    <row r="21" spans="1:10" x14ac:dyDescent="0.25">
      <c r="A21" s="4"/>
      <c r="B21" s="4"/>
      <c r="C21" s="4"/>
      <c r="D21" s="4"/>
      <c r="E21" s="13"/>
      <c r="F21" s="14"/>
      <c r="G21" s="14"/>
      <c r="H21" s="8"/>
      <c r="I21" s="8"/>
      <c r="J21" s="4"/>
    </row>
    <row r="22" spans="1:10" x14ac:dyDescent="0.25">
      <c r="A22" s="4"/>
      <c r="B22" s="4"/>
      <c r="C22" s="4"/>
      <c r="D22" s="4"/>
      <c r="E22" s="13"/>
      <c r="F22" s="14"/>
      <c r="G22" s="14"/>
      <c r="H22" s="8"/>
      <c r="I22" s="8"/>
      <c r="J22" s="4"/>
    </row>
    <row r="23" spans="1:10" x14ac:dyDescent="0.25">
      <c r="A23" s="4"/>
      <c r="B23" s="4"/>
      <c r="C23" s="4"/>
      <c r="D23" s="4"/>
      <c r="E23" s="13"/>
      <c r="F23" s="14"/>
      <c r="G23" s="14"/>
      <c r="H23" s="8"/>
      <c r="I23" s="8"/>
      <c r="J23" s="4"/>
    </row>
    <row r="24" spans="1:10" x14ac:dyDescent="0.25">
      <c r="A24" s="4"/>
      <c r="B24" s="4"/>
      <c r="C24" s="4"/>
      <c r="D24" s="4"/>
      <c r="E24" s="13"/>
      <c r="F24" s="14"/>
      <c r="G24" s="14"/>
      <c r="H24" s="8"/>
      <c r="I24" s="8"/>
      <c r="J24" s="4"/>
    </row>
    <row r="25" spans="1:10" x14ac:dyDescent="0.25">
      <c r="A25" s="4"/>
      <c r="B25" s="4"/>
      <c r="C25" s="4"/>
      <c r="D25" s="4"/>
      <c r="E25" s="13"/>
      <c r="F25" s="14"/>
      <c r="G25" s="14"/>
      <c r="H25" s="8"/>
      <c r="I25" s="8"/>
      <c r="J25" s="4"/>
    </row>
    <row r="26" spans="1:10" x14ac:dyDescent="0.25">
      <c r="A26" s="4"/>
      <c r="B26" s="4"/>
      <c r="C26" s="4"/>
      <c r="D26" s="4"/>
      <c r="E26" s="13"/>
      <c r="F26" s="14"/>
      <c r="G26" s="14"/>
      <c r="H26" s="8"/>
      <c r="I26" s="8"/>
      <c r="J26" s="4"/>
    </row>
    <row r="27" spans="1:10" x14ac:dyDescent="0.25">
      <c r="A27" s="4"/>
      <c r="B27" s="4"/>
      <c r="C27" s="4"/>
      <c r="D27" s="4"/>
      <c r="E27" s="13"/>
      <c r="F27" s="14"/>
      <c r="G27" s="14"/>
      <c r="H27" s="8"/>
      <c r="I27" s="8"/>
      <c r="J27" s="4"/>
    </row>
    <row r="28" spans="1:10" x14ac:dyDescent="0.25">
      <c r="A28" s="4"/>
      <c r="B28" s="4"/>
      <c r="C28" s="4"/>
      <c r="D28" s="4"/>
      <c r="E28" s="13"/>
      <c r="F28" s="14"/>
      <c r="G28" s="14"/>
      <c r="H28" s="8"/>
      <c r="I28" s="8"/>
      <c r="J28" s="4"/>
    </row>
    <row r="29" spans="1:10" x14ac:dyDescent="0.25">
      <c r="A29" s="4"/>
      <c r="B29" s="4"/>
      <c r="C29" s="4"/>
      <c r="D29" s="4"/>
      <c r="E29" s="13"/>
      <c r="F29" s="14"/>
      <c r="G29" s="14"/>
      <c r="H29" s="8"/>
      <c r="I29" s="8"/>
      <c r="J29" s="4"/>
    </row>
    <row r="30" spans="1:10" x14ac:dyDescent="0.25">
      <c r="A30" s="4"/>
      <c r="B30" s="4"/>
      <c r="C30" s="4"/>
      <c r="D30" s="4"/>
      <c r="E30" s="13"/>
      <c r="F30" s="14"/>
      <c r="G30" s="14"/>
      <c r="H30" s="8"/>
      <c r="I30" s="8"/>
      <c r="J30" s="4"/>
    </row>
    <row r="31" spans="1:10" x14ac:dyDescent="0.25">
      <c r="A31" s="4"/>
      <c r="B31" s="4"/>
      <c r="C31" s="4"/>
      <c r="D31" s="4"/>
      <c r="E31" s="13"/>
      <c r="F31" s="14"/>
      <c r="G31" s="14"/>
      <c r="H31" s="8"/>
      <c r="I31" s="8"/>
      <c r="J31" s="4"/>
    </row>
    <row r="32" spans="1:10" x14ac:dyDescent="0.25">
      <c r="A32" s="4"/>
      <c r="B32" s="4"/>
      <c r="C32" s="4"/>
      <c r="D32" s="4"/>
      <c r="E32" s="13"/>
      <c r="F32" s="14"/>
      <c r="G32" s="14"/>
      <c r="H32" s="8"/>
      <c r="I32" s="8"/>
      <c r="J32" s="4"/>
    </row>
    <row r="33" spans="1:10" x14ac:dyDescent="0.25">
      <c r="A33" s="4"/>
      <c r="B33" s="4"/>
      <c r="C33" s="4"/>
      <c r="D33" s="4"/>
      <c r="E33" s="13"/>
      <c r="F33" s="14"/>
      <c r="G33" s="14"/>
      <c r="H33" s="8"/>
      <c r="I33" s="8"/>
      <c r="J33" s="4"/>
    </row>
    <row r="34" spans="1:10" x14ac:dyDescent="0.25">
      <c r="A34" s="4"/>
      <c r="B34" s="4"/>
      <c r="C34" s="4"/>
      <c r="D34" s="4"/>
      <c r="E34" s="13"/>
      <c r="F34" s="14"/>
      <c r="G34" s="14"/>
      <c r="H34" s="8"/>
      <c r="I34" s="8"/>
      <c r="J34" s="4"/>
    </row>
    <row r="35" spans="1:10" x14ac:dyDescent="0.25">
      <c r="A35" s="4"/>
      <c r="B35" s="4"/>
      <c r="C35" s="4"/>
      <c r="D35" s="4"/>
      <c r="E35" s="13"/>
      <c r="F35" s="14"/>
      <c r="G35" s="14"/>
      <c r="H35" s="8"/>
      <c r="I35" s="8"/>
      <c r="J35" s="4"/>
    </row>
    <row r="36" spans="1:10" x14ac:dyDescent="0.25">
      <c r="A36" s="4"/>
      <c r="B36" s="4"/>
      <c r="C36" s="4"/>
      <c r="D36" s="4"/>
      <c r="E36" s="13"/>
      <c r="F36" s="14"/>
      <c r="G36" s="14"/>
      <c r="H36" s="8"/>
      <c r="I36" s="8"/>
      <c r="J36" s="4"/>
    </row>
    <row r="37" spans="1:10" x14ac:dyDescent="0.25">
      <c r="A37" s="4"/>
      <c r="B37" s="4"/>
      <c r="C37" s="4"/>
      <c r="D37" s="4"/>
      <c r="E37" s="13"/>
      <c r="F37" s="14"/>
      <c r="G37" s="14"/>
      <c r="H37" s="8"/>
      <c r="I37" s="8"/>
      <c r="J37" s="4"/>
    </row>
    <row r="38" spans="1:10" x14ac:dyDescent="0.25">
      <c r="A38" s="4"/>
      <c r="B38" s="4"/>
      <c r="C38" s="4"/>
      <c r="D38" s="4"/>
      <c r="E38" s="13"/>
      <c r="F38" s="14"/>
      <c r="G38" s="14"/>
      <c r="H38" s="8"/>
      <c r="I38" s="8"/>
      <c r="J38" s="4"/>
    </row>
    <row r="39" spans="1:10" x14ac:dyDescent="0.25">
      <c r="A39" s="4"/>
      <c r="B39" s="4"/>
      <c r="C39" s="4"/>
      <c r="D39" s="4"/>
      <c r="E39" s="13"/>
      <c r="F39" s="14"/>
      <c r="G39" s="14"/>
      <c r="H39" s="8"/>
      <c r="I39" s="8"/>
      <c r="J39" s="4"/>
    </row>
    <row r="40" spans="1:10" x14ac:dyDescent="0.25">
      <c r="A40" s="4"/>
      <c r="B40" s="4"/>
      <c r="C40" s="4"/>
      <c r="D40" s="4"/>
      <c r="E40" s="13"/>
      <c r="F40" s="14"/>
      <c r="G40" s="14"/>
      <c r="H40" s="8"/>
      <c r="I40" s="8"/>
      <c r="J40" s="4"/>
    </row>
    <row r="41" spans="1:10" x14ac:dyDescent="0.25">
      <c r="A41" s="4"/>
      <c r="B41" s="4"/>
      <c r="C41" s="4"/>
      <c r="D41" s="4"/>
      <c r="E41" s="13"/>
      <c r="F41" s="14"/>
      <c r="G41" s="14"/>
      <c r="H41" s="8"/>
      <c r="I41" s="8"/>
      <c r="J41" s="4"/>
    </row>
    <row r="42" spans="1:10" x14ac:dyDescent="0.25">
      <c r="A42" s="4"/>
      <c r="B42" s="4"/>
      <c r="C42" s="4"/>
      <c r="D42" s="4"/>
      <c r="E42" s="13"/>
      <c r="F42" s="14"/>
      <c r="G42" s="14"/>
      <c r="H42" s="8"/>
      <c r="I42" s="8"/>
      <c r="J42" s="4"/>
    </row>
    <row r="43" spans="1:10" x14ac:dyDescent="0.25">
      <c r="A43" s="4"/>
      <c r="B43" s="4"/>
      <c r="C43" s="4"/>
      <c r="D43" s="4"/>
      <c r="E43" s="13"/>
      <c r="F43" s="14"/>
      <c r="G43" s="14"/>
      <c r="H43" s="8"/>
      <c r="I43" s="8"/>
      <c r="J43" s="4"/>
    </row>
    <row r="45" spans="1:16" x14ac:dyDescent="0.25">
      <c r="A45" s="2" t="s">
        <v>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3" t="s">
        <v>32</v>
      </c>
      <c r="B46" s="3" t="s">
        <v>33</v>
      </c>
      <c r="C46" s="3" t="s">
        <v>34</v>
      </c>
      <c r="D46" s="3" t="s">
        <v>8</v>
      </c>
      <c r="E46" s="3" t="s">
        <v>41</v>
      </c>
      <c r="F46" s="3" t="s">
        <v>42</v>
      </c>
      <c r="G46" s="3" t="s">
        <v>43</v>
      </c>
      <c r="H46" s="3" t="s">
        <v>44</v>
      </c>
      <c r="I46" s="3" t="s">
        <v>45</v>
      </c>
      <c r="J46" s="3" t="s">
        <v>46</v>
      </c>
      <c r="K46" s="3" t="s">
        <v>47</v>
      </c>
      <c r="L46" s="3" t="s">
        <v>48</v>
      </c>
      <c r="M46" s="3" t="s">
        <v>49</v>
      </c>
      <c r="N46" s="3" t="s">
        <v>50</v>
      </c>
      <c r="O46" s="3" t="s">
        <v>51</v>
      </c>
      <c r="P46" s="3" t="s">
        <v>52</v>
      </c>
    </row>
    <row r="47" spans="1:16" x14ac:dyDescent="0.25">
      <c r="A47" s="9">
        <f>IFERROR(IF(A5="","",A5),"")</f>
      </c>
      <c r="B47" s="9">
        <f>IFERROR(IF(B5="","",B5),"")</f>
      </c>
      <c r="C47" s="9">
        <f>IFERROR(IF(C5="","",C5),"")</f>
      </c>
      <c r="D47" s="9">
        <f>IFERROR(IF(D5="","",D5),"")</f>
      </c>
      <c r="E47" s="15">
        <f>IFERROR(IF(OR(C5="", F5="", H5="", F5=0, H5=0), "", E5/(F5*H5)), "")</f>
      </c>
      <c r="F47" s="15">
        <f>IFERROR(IF(OR(C5="", G5="", I5="", G5=0, I5=0), "", E5/(G5*I5)), "")</f>
      </c>
      <c r="G47" s="15">
        <f>IFERROR(IF(OR(C5="", E47="", F47=""), "", F47-E47), "")</f>
      </c>
      <c r="H47" s="10">
        <f>IFERROR(IF(OR(C5="", E47=""), "", E47*IFERROR(VLOOKUP(D5,'1_MASTER_RATES'!A$9:E$12,2,FALSE),0)), "")</f>
      </c>
      <c r="I47" s="10">
        <f>IFERROR(IF(OR(C5="", F47=""), "", F47*IFERROR(VLOOKUP(D5,'1_MASTER_RATES'!A$9:E$12,2,FALSE),0)), "")</f>
      </c>
      <c r="J47" s="10">
        <f>IFERROR(IF(OR(C5="", H47="", I47=""), "", I47-H47), "")</f>
      </c>
      <c r="K47" s="10">
        <f>IFERROR(IF(OR(C5="", E47=""), "", E47*IFERROR(VLOOKUP(D5,'1_MASTER_RATES'!A$9:E$12,3,FALSE),0)), "")</f>
      </c>
      <c r="L47" s="10">
        <f>IFERROR(IF(OR(C5="", F47=""), "", F47*IFERROR(VLOOKUP(D5,'1_MASTER_RATES'!A$9:E$12,3,FALSE),0)), "")</f>
      </c>
      <c r="M47" s="10">
        <f>IFERROR(IF(OR(C5="", K47="", L47=""), "", L47-K47), "")</f>
      </c>
      <c r="N47" s="10">
        <f>IFERROR(IF(C5="","", H47+K47), "")</f>
      </c>
      <c r="O47" s="10">
        <f>IFERROR(IF(C5="","", I47+L47), "")</f>
      </c>
      <c r="P47" s="10">
        <f>IFERROR(IF(C5="","", O47-N47), "")</f>
      </c>
    </row>
    <row r="48" spans="1:16" x14ac:dyDescent="0.25">
      <c r="A48" s="9">
        <f>IFERROR(IF(A6="","",A6),"")</f>
      </c>
      <c r="B48" s="9">
        <f>IFERROR(IF(B6="","",B6),"")</f>
      </c>
      <c r="C48" s="9">
        <f>IFERROR(IF(C6="","",C6),"")</f>
      </c>
      <c r="D48" s="9">
        <f>IFERROR(IF(D6="","",D6),"")</f>
      </c>
      <c r="E48" s="15">
        <f>IFERROR(IF(OR(C6="", F6="", H6="", F6=0, H6=0), "", E6/(F6*H6)), "")</f>
      </c>
      <c r="F48" s="15">
        <f>IFERROR(IF(OR(C6="", G6="", I6="", G6=0, I6=0), "", E6/(G6*I6)), "")</f>
      </c>
      <c r="G48" s="15">
        <f>IFERROR(IF(OR(C6="", E48="", F48=""), "", F48-E48), "")</f>
      </c>
      <c r="H48" s="10">
        <f>IFERROR(IF(OR(C6="", E48=""), "", E48*IFERROR(VLOOKUP(D6,'1_MASTER_RATES'!A$9:E$12,2,FALSE),0)), "")</f>
      </c>
      <c r="I48" s="10">
        <f>IFERROR(IF(OR(C6="", F48=""), "", F48*IFERROR(VLOOKUP(D6,'1_MASTER_RATES'!A$9:E$12,2,FALSE),0)), "")</f>
      </c>
      <c r="J48" s="10">
        <f>IFERROR(IF(OR(C6="", H48="", I48=""), "", I48-H48), "")</f>
      </c>
      <c r="K48" s="10">
        <f>IFERROR(IF(OR(C6="", E48=""), "", E48*IFERROR(VLOOKUP(D6,'1_MASTER_RATES'!A$9:E$12,3,FALSE),0)), "")</f>
      </c>
      <c r="L48" s="10">
        <f>IFERROR(IF(OR(C6="", F48=""), "", F48*IFERROR(VLOOKUP(D6,'1_MASTER_RATES'!A$9:E$12,3,FALSE),0)), "")</f>
      </c>
      <c r="M48" s="10">
        <f>IFERROR(IF(OR(C6="", K48="", L48=""), "", L48-K48), "")</f>
      </c>
      <c r="N48" s="10">
        <f>IFERROR(IF(C6="","", H48+K48), "")</f>
      </c>
      <c r="O48" s="10">
        <f>IFERROR(IF(C6="","", I48+L48), "")</f>
      </c>
      <c r="P48" s="10">
        <f>IFERROR(IF(C6="","", O48-N48), "")</f>
      </c>
    </row>
    <row r="49" spans="1:16" x14ac:dyDescent="0.25">
      <c r="A49" s="9">
        <f>IFERROR(IF(A7="","",A7),"")</f>
      </c>
      <c r="B49" s="9">
        <f>IFERROR(IF(B7="","",B7),"")</f>
      </c>
      <c r="C49" s="9">
        <f>IFERROR(IF(C7="","",C7),"")</f>
      </c>
      <c r="D49" s="9">
        <f>IFERROR(IF(D7="","",D7),"")</f>
      </c>
      <c r="E49" s="15">
        <f>IFERROR(IF(OR(C7="", F7="", H7="", F7=0, H7=0), "", E7/(F7*H7)), "")</f>
      </c>
      <c r="F49" s="15">
        <f>IFERROR(IF(OR(C7="", G7="", I7="", G7=0, I7=0), "", E7/(G7*I7)), "")</f>
      </c>
      <c r="G49" s="15">
        <f>IFERROR(IF(OR(C7="", E49="", F49=""), "", F49-E49), "")</f>
      </c>
      <c r="H49" s="10">
        <f>IFERROR(IF(OR(C7="", E49=""), "", E49*IFERROR(VLOOKUP(D7,'1_MASTER_RATES'!A$9:E$12,2,FALSE),0)), "")</f>
      </c>
      <c r="I49" s="10">
        <f>IFERROR(IF(OR(C7="", F49=""), "", F49*IFERROR(VLOOKUP(D7,'1_MASTER_RATES'!A$9:E$12,2,FALSE),0)), "")</f>
      </c>
      <c r="J49" s="10">
        <f>IFERROR(IF(OR(C7="", H49="", I49=""), "", I49-H49), "")</f>
      </c>
      <c r="K49" s="10">
        <f>IFERROR(IF(OR(C7="", E49=""), "", E49*IFERROR(VLOOKUP(D7,'1_MASTER_RATES'!A$9:E$12,3,FALSE),0)), "")</f>
      </c>
      <c r="L49" s="10">
        <f>IFERROR(IF(OR(C7="", F49=""), "", F49*IFERROR(VLOOKUP(D7,'1_MASTER_RATES'!A$9:E$12,3,FALSE),0)), "")</f>
      </c>
      <c r="M49" s="10">
        <f>IFERROR(IF(OR(C7="", K49="", L49=""), "", L49-K49), "")</f>
      </c>
      <c r="N49" s="10">
        <f>IFERROR(IF(C7="","", H49+K49), "")</f>
      </c>
      <c r="O49" s="10">
        <f>IFERROR(IF(C7="","", I49+L49), "")</f>
      </c>
      <c r="P49" s="10">
        <f>IFERROR(IF(C7="","", O49-N49), "")</f>
      </c>
    </row>
    <row r="50" spans="1:16" x14ac:dyDescent="0.25">
      <c r="A50" s="9">
        <f>IFERROR(IF(A8="","",A8),"")</f>
      </c>
      <c r="B50" s="9">
        <f>IFERROR(IF(B8="","",B8),"")</f>
      </c>
      <c r="C50" s="9">
        <f>IFERROR(IF(C8="","",C8),"")</f>
      </c>
      <c r="D50" s="9">
        <f>IFERROR(IF(D8="","",D8),"")</f>
      </c>
      <c r="E50" s="15">
        <f>IFERROR(IF(OR(C8="", F8="", H8="", F8=0, H8=0), "", E8/(F8*H8)), "")</f>
      </c>
      <c r="F50" s="15">
        <f>IFERROR(IF(OR(C8="", G8="", I8="", G8=0, I8=0), "", E8/(G8*I8)), "")</f>
      </c>
      <c r="G50" s="15">
        <f>IFERROR(IF(OR(C8="", E50="", F50=""), "", F50-E50), "")</f>
      </c>
      <c r="H50" s="10">
        <f>IFERROR(IF(OR(C8="", E50=""), "", E50*IFERROR(VLOOKUP(D8,'1_MASTER_RATES'!A$9:E$12,2,FALSE),0)), "")</f>
      </c>
      <c r="I50" s="10">
        <f>IFERROR(IF(OR(C8="", F50=""), "", F50*IFERROR(VLOOKUP(D8,'1_MASTER_RATES'!A$9:E$12,2,FALSE),0)), "")</f>
      </c>
      <c r="J50" s="10">
        <f>IFERROR(IF(OR(C8="", H50="", I50=""), "", I50-H50), "")</f>
      </c>
      <c r="K50" s="10">
        <f>IFERROR(IF(OR(C8="", E50=""), "", E50*IFERROR(VLOOKUP(D8,'1_MASTER_RATES'!A$9:E$12,3,FALSE),0)), "")</f>
      </c>
      <c r="L50" s="10">
        <f>IFERROR(IF(OR(C8="", F50=""), "", F50*IFERROR(VLOOKUP(D8,'1_MASTER_RATES'!A$9:E$12,3,FALSE),0)), "")</f>
      </c>
      <c r="M50" s="10">
        <f>IFERROR(IF(OR(C8="", K50="", L50=""), "", L50-K50), "")</f>
      </c>
      <c r="N50" s="10">
        <f>IFERROR(IF(C8="","", H50+K50), "")</f>
      </c>
      <c r="O50" s="10">
        <f>IFERROR(IF(C8="","", I50+L50), "")</f>
      </c>
      <c r="P50" s="10">
        <f>IFERROR(IF(C8="","", O50-N50), "")</f>
      </c>
    </row>
    <row r="51" spans="1:16" x14ac:dyDescent="0.25">
      <c r="A51" s="9">
        <f>IFERROR(IF(A9="","",A9),"")</f>
      </c>
      <c r="B51" s="9">
        <f>IFERROR(IF(B9="","",B9),"")</f>
      </c>
      <c r="C51" s="9">
        <f>IFERROR(IF(C9="","",C9),"")</f>
      </c>
      <c r="D51" s="9">
        <f>IFERROR(IF(D9="","",D9),"")</f>
      </c>
      <c r="E51" s="15">
        <f>IFERROR(IF(OR(C9="", F9="", H9="", F9=0, H9=0), "", E9/(F9*H9)), "")</f>
      </c>
      <c r="F51" s="15">
        <f>IFERROR(IF(OR(C9="", G9="", I9="", G9=0, I9=0), "", E9/(G9*I9)), "")</f>
      </c>
      <c r="G51" s="15">
        <f>IFERROR(IF(OR(C9="", E51="", F51=""), "", F51-E51), "")</f>
      </c>
      <c r="H51" s="10">
        <f>IFERROR(IF(OR(C9="", E51=""), "", E51*IFERROR(VLOOKUP(D9,'1_MASTER_RATES'!A$9:E$12,2,FALSE),0)), "")</f>
      </c>
      <c r="I51" s="10">
        <f>IFERROR(IF(OR(C9="", F51=""), "", F51*IFERROR(VLOOKUP(D9,'1_MASTER_RATES'!A$9:E$12,2,FALSE),0)), "")</f>
      </c>
      <c r="J51" s="10">
        <f>IFERROR(IF(OR(C9="", H51="", I51=""), "", I51-H51), "")</f>
      </c>
      <c r="K51" s="10">
        <f>IFERROR(IF(OR(C9="", E51=""), "", E51*IFERROR(VLOOKUP(D9,'1_MASTER_RATES'!A$9:E$12,3,FALSE),0)), "")</f>
      </c>
      <c r="L51" s="10">
        <f>IFERROR(IF(OR(C9="", F51=""), "", F51*IFERROR(VLOOKUP(D9,'1_MASTER_RATES'!A$9:E$12,3,FALSE),0)), "")</f>
      </c>
      <c r="M51" s="10">
        <f>IFERROR(IF(OR(C9="", K51="", L51=""), "", L51-K51), "")</f>
      </c>
      <c r="N51" s="10">
        <f>IFERROR(IF(C9="","", H51+K51), "")</f>
      </c>
      <c r="O51" s="10">
        <f>IFERROR(IF(C9="","", I51+L51), "")</f>
      </c>
      <c r="P51" s="10">
        <f>IFERROR(IF(C9="","", O51-N51), "")</f>
      </c>
    </row>
    <row r="52" spans="1:16" x14ac:dyDescent="0.25">
      <c r="A52" s="9">
        <f>IFERROR(IF(A10="","",A10),"")</f>
      </c>
      <c r="B52" s="9">
        <f>IFERROR(IF(B10="","",B10),"")</f>
      </c>
      <c r="C52" s="9">
        <f>IFERROR(IF(C10="","",C10),"")</f>
      </c>
      <c r="D52" s="9">
        <f>IFERROR(IF(D10="","",D10),"")</f>
      </c>
      <c r="E52" s="15">
        <f>IFERROR(IF(OR(C10="", F10="", H10="", F10=0, H10=0), "", E10/(F10*H10)), "")</f>
      </c>
      <c r="F52" s="15">
        <f>IFERROR(IF(OR(C10="", G10="", I10="", G10=0, I10=0), "", E10/(G10*I10)), "")</f>
      </c>
      <c r="G52" s="15">
        <f>IFERROR(IF(OR(C10="", E52="", F52=""), "", F52-E52), "")</f>
      </c>
      <c r="H52" s="10">
        <f>IFERROR(IF(OR(C10="", E52=""), "", E52*IFERROR(VLOOKUP(D10,'1_MASTER_RATES'!A$9:E$12,2,FALSE),0)), "")</f>
      </c>
      <c r="I52" s="10">
        <f>IFERROR(IF(OR(C10="", F52=""), "", F52*IFERROR(VLOOKUP(D10,'1_MASTER_RATES'!A$9:E$12,2,FALSE),0)), "")</f>
      </c>
      <c r="J52" s="10">
        <f>IFERROR(IF(OR(C10="", H52="", I52=""), "", I52-H52), "")</f>
      </c>
      <c r="K52" s="10">
        <f>IFERROR(IF(OR(C10="", E52=""), "", E52*IFERROR(VLOOKUP(D10,'1_MASTER_RATES'!A$9:E$12,3,FALSE),0)), "")</f>
      </c>
      <c r="L52" s="10">
        <f>IFERROR(IF(OR(C10="", F52=""), "", F52*IFERROR(VLOOKUP(D10,'1_MASTER_RATES'!A$9:E$12,3,FALSE),0)), "")</f>
      </c>
      <c r="M52" s="10">
        <f>IFERROR(IF(OR(C10="", K52="", L52=""), "", L52-K52), "")</f>
      </c>
      <c r="N52" s="10">
        <f>IFERROR(IF(C10="","", H52+K52), "")</f>
      </c>
      <c r="O52" s="10">
        <f>IFERROR(IF(C10="","", I52+L52), "")</f>
      </c>
      <c r="P52" s="10">
        <f>IFERROR(IF(C10="","", O52-N52), "")</f>
      </c>
    </row>
    <row r="53" spans="1:16" x14ac:dyDescent="0.25">
      <c r="A53" s="9">
        <f>IFERROR(IF(A11="","",A11),"")</f>
      </c>
      <c r="B53" s="9">
        <f>IFERROR(IF(B11="","",B11),"")</f>
      </c>
      <c r="C53" s="9">
        <f>IFERROR(IF(C11="","",C11),"")</f>
      </c>
      <c r="D53" s="9">
        <f>IFERROR(IF(D11="","",D11),"")</f>
      </c>
      <c r="E53" s="15">
        <f>IFERROR(IF(OR(C11="", F11="", H11="", F11=0, H11=0), "", E11/(F11*H11)), "")</f>
      </c>
      <c r="F53" s="15">
        <f>IFERROR(IF(OR(C11="", G11="", I11="", G11=0, I11=0), "", E11/(G11*I11)), "")</f>
      </c>
      <c r="G53" s="15">
        <f>IFERROR(IF(OR(C11="", E53="", F53=""), "", F53-E53), "")</f>
      </c>
      <c r="H53" s="10">
        <f>IFERROR(IF(OR(C11="", E53=""), "", E53*IFERROR(VLOOKUP(D11,'1_MASTER_RATES'!A$9:E$12,2,FALSE),0)), "")</f>
      </c>
      <c r="I53" s="10">
        <f>IFERROR(IF(OR(C11="", F53=""), "", F53*IFERROR(VLOOKUP(D11,'1_MASTER_RATES'!A$9:E$12,2,FALSE),0)), "")</f>
      </c>
      <c r="J53" s="10">
        <f>IFERROR(IF(OR(C11="", H53="", I53=""), "", I53-H53), "")</f>
      </c>
      <c r="K53" s="10">
        <f>IFERROR(IF(OR(C11="", E53=""), "", E53*IFERROR(VLOOKUP(D11,'1_MASTER_RATES'!A$9:E$12,3,FALSE),0)), "")</f>
      </c>
      <c r="L53" s="10">
        <f>IFERROR(IF(OR(C11="", F53=""), "", F53*IFERROR(VLOOKUP(D11,'1_MASTER_RATES'!A$9:E$12,3,FALSE),0)), "")</f>
      </c>
      <c r="M53" s="10">
        <f>IFERROR(IF(OR(C11="", K53="", L53=""), "", L53-K53), "")</f>
      </c>
      <c r="N53" s="10">
        <f>IFERROR(IF(C11="","", H53+K53), "")</f>
      </c>
      <c r="O53" s="10">
        <f>IFERROR(IF(C11="","", I53+L53), "")</f>
      </c>
      <c r="P53" s="10">
        <f>IFERROR(IF(C11="","", O53-N53), "")</f>
      </c>
    </row>
    <row r="54" spans="1:16" x14ac:dyDescent="0.25">
      <c r="A54" s="9">
        <f>IFERROR(IF(A12="","",A12),"")</f>
      </c>
      <c r="B54" s="9">
        <f>IFERROR(IF(B12="","",B12),"")</f>
      </c>
      <c r="C54" s="9">
        <f>IFERROR(IF(C12="","",C12),"")</f>
      </c>
      <c r="D54" s="9">
        <f>IFERROR(IF(D12="","",D12),"")</f>
      </c>
      <c r="E54" s="15">
        <f>IFERROR(IF(OR(C12="", F12="", H12="", F12=0, H12=0), "", E12/(F12*H12)), "")</f>
      </c>
      <c r="F54" s="15">
        <f>IFERROR(IF(OR(C12="", G12="", I12="", G12=0, I12=0), "", E12/(G12*I12)), "")</f>
      </c>
      <c r="G54" s="15">
        <f>IFERROR(IF(OR(C12="", E54="", F54=""), "", F54-E54), "")</f>
      </c>
      <c r="H54" s="10">
        <f>IFERROR(IF(OR(C12="", E54=""), "", E54*IFERROR(VLOOKUP(D12,'1_MASTER_RATES'!A$9:E$12,2,FALSE),0)), "")</f>
      </c>
      <c r="I54" s="10">
        <f>IFERROR(IF(OR(C12="", F54=""), "", F54*IFERROR(VLOOKUP(D12,'1_MASTER_RATES'!A$9:E$12,2,FALSE),0)), "")</f>
      </c>
      <c r="J54" s="10">
        <f>IFERROR(IF(OR(C12="", H54="", I54=""), "", I54-H54), "")</f>
      </c>
      <c r="K54" s="10">
        <f>IFERROR(IF(OR(C12="", E54=""), "", E54*IFERROR(VLOOKUP(D12,'1_MASTER_RATES'!A$9:E$12,3,FALSE),0)), "")</f>
      </c>
      <c r="L54" s="10">
        <f>IFERROR(IF(OR(C12="", F54=""), "", F54*IFERROR(VLOOKUP(D12,'1_MASTER_RATES'!A$9:E$12,3,FALSE),0)), "")</f>
      </c>
      <c r="M54" s="10">
        <f>IFERROR(IF(OR(C12="", K54="", L54=""), "", L54-K54), "")</f>
      </c>
      <c r="N54" s="10">
        <f>IFERROR(IF(C12="","", H54+K54), "")</f>
      </c>
      <c r="O54" s="10">
        <f>IFERROR(IF(C12="","", I54+L54), "")</f>
      </c>
      <c r="P54" s="10">
        <f>IFERROR(IF(C12="","", O54-N54), "")</f>
      </c>
    </row>
    <row r="55" spans="1:16" x14ac:dyDescent="0.25">
      <c r="A55" s="9">
        <f>IFERROR(IF(A13="","",A13),"")</f>
      </c>
      <c r="B55" s="9">
        <f>IFERROR(IF(B13="","",B13),"")</f>
      </c>
      <c r="C55" s="9">
        <f>IFERROR(IF(C13="","",C13),"")</f>
      </c>
      <c r="D55" s="9">
        <f>IFERROR(IF(D13="","",D13),"")</f>
      </c>
      <c r="E55" s="15">
        <f>IFERROR(IF(OR(C13="", F13="", H13="", F13=0, H13=0), "", E13/(F13*H13)), "")</f>
      </c>
      <c r="F55" s="15">
        <f>IFERROR(IF(OR(C13="", G13="", I13="", G13=0, I13=0), "", E13/(G13*I13)), "")</f>
      </c>
      <c r="G55" s="15">
        <f>IFERROR(IF(OR(C13="", E55="", F55=""), "", F55-E55), "")</f>
      </c>
      <c r="H55" s="10">
        <f>IFERROR(IF(OR(C13="", E55=""), "", E55*IFERROR(VLOOKUP(D13,'1_MASTER_RATES'!A$9:E$12,2,FALSE),0)), "")</f>
      </c>
      <c r="I55" s="10">
        <f>IFERROR(IF(OR(C13="", F55=""), "", F55*IFERROR(VLOOKUP(D13,'1_MASTER_RATES'!A$9:E$12,2,FALSE),0)), "")</f>
      </c>
      <c r="J55" s="10">
        <f>IFERROR(IF(OR(C13="", H55="", I55=""), "", I55-H55), "")</f>
      </c>
      <c r="K55" s="10">
        <f>IFERROR(IF(OR(C13="", E55=""), "", E55*IFERROR(VLOOKUP(D13,'1_MASTER_RATES'!A$9:E$12,3,FALSE),0)), "")</f>
      </c>
      <c r="L55" s="10">
        <f>IFERROR(IF(OR(C13="", F55=""), "", F55*IFERROR(VLOOKUP(D13,'1_MASTER_RATES'!A$9:E$12,3,FALSE),0)), "")</f>
      </c>
      <c r="M55" s="10">
        <f>IFERROR(IF(OR(C13="", K55="", L55=""), "", L55-K55), "")</f>
      </c>
      <c r="N55" s="10">
        <f>IFERROR(IF(C13="","", H55+K55), "")</f>
      </c>
      <c r="O55" s="10">
        <f>IFERROR(IF(C13="","", I55+L55), "")</f>
      </c>
      <c r="P55" s="10">
        <f>IFERROR(IF(C13="","", O55-N55), "")</f>
      </c>
    </row>
    <row r="56" spans="1:16" x14ac:dyDescent="0.25">
      <c r="A56" s="9">
        <f>IFERROR(IF(A14="","",A14),"")</f>
      </c>
      <c r="B56" s="9">
        <f>IFERROR(IF(B14="","",B14),"")</f>
      </c>
      <c r="C56" s="9">
        <f>IFERROR(IF(C14="","",C14),"")</f>
      </c>
      <c r="D56" s="9">
        <f>IFERROR(IF(D14="","",D14),"")</f>
      </c>
      <c r="E56" s="15">
        <f>IFERROR(IF(OR(C14="", F14="", H14="", F14=0, H14=0), "", E14/(F14*H14)), "")</f>
      </c>
      <c r="F56" s="15">
        <f>IFERROR(IF(OR(C14="", G14="", I14="", G14=0, I14=0), "", E14/(G14*I14)), "")</f>
      </c>
      <c r="G56" s="15">
        <f>IFERROR(IF(OR(C14="", E56="", F56=""), "", F56-E56), "")</f>
      </c>
      <c r="H56" s="10">
        <f>IFERROR(IF(OR(C14="", E56=""), "", E56*IFERROR(VLOOKUP(D14,'1_MASTER_RATES'!A$9:E$12,2,FALSE),0)), "")</f>
      </c>
      <c r="I56" s="10">
        <f>IFERROR(IF(OR(C14="", F56=""), "", F56*IFERROR(VLOOKUP(D14,'1_MASTER_RATES'!A$9:E$12,2,FALSE),0)), "")</f>
      </c>
      <c r="J56" s="10">
        <f>IFERROR(IF(OR(C14="", H56="", I56=""), "", I56-H56), "")</f>
      </c>
      <c r="K56" s="10">
        <f>IFERROR(IF(OR(C14="", E56=""), "", E56*IFERROR(VLOOKUP(D14,'1_MASTER_RATES'!A$9:E$12,3,FALSE),0)), "")</f>
      </c>
      <c r="L56" s="10">
        <f>IFERROR(IF(OR(C14="", F56=""), "", F56*IFERROR(VLOOKUP(D14,'1_MASTER_RATES'!A$9:E$12,3,FALSE),0)), "")</f>
      </c>
      <c r="M56" s="10">
        <f>IFERROR(IF(OR(C14="", K56="", L56=""), "", L56-K56), "")</f>
      </c>
      <c r="N56" s="10">
        <f>IFERROR(IF(C14="","", H56+K56), "")</f>
      </c>
      <c r="O56" s="10">
        <f>IFERROR(IF(C14="","", I56+L56), "")</f>
      </c>
      <c r="P56" s="10">
        <f>IFERROR(IF(C14="","", O56-N56), "")</f>
      </c>
    </row>
    <row r="57" spans="1:16" x14ac:dyDescent="0.25">
      <c r="A57" s="9">
        <f>IFERROR(IF(A15="","",A15),"")</f>
      </c>
      <c r="B57" s="9">
        <f>IFERROR(IF(B15="","",B15),"")</f>
      </c>
      <c r="C57" s="9">
        <f>IFERROR(IF(C15="","",C15),"")</f>
      </c>
      <c r="D57" s="9">
        <f>IFERROR(IF(D15="","",D15),"")</f>
      </c>
      <c r="E57" s="15">
        <f>IFERROR(IF(OR(C15="", F15="", H15="", F15=0, H15=0), "", E15/(F15*H15)), "")</f>
      </c>
      <c r="F57" s="15">
        <f>IFERROR(IF(OR(C15="", G15="", I15="", G15=0, I15=0), "", E15/(G15*I15)), "")</f>
      </c>
      <c r="G57" s="15">
        <f>IFERROR(IF(OR(C15="", E57="", F57=""), "", F57-E57), "")</f>
      </c>
      <c r="H57" s="10">
        <f>IFERROR(IF(OR(C15="", E57=""), "", E57*IFERROR(VLOOKUP(D15,'1_MASTER_RATES'!A$9:E$12,2,FALSE),0)), "")</f>
      </c>
      <c r="I57" s="10">
        <f>IFERROR(IF(OR(C15="", F57=""), "", F57*IFERROR(VLOOKUP(D15,'1_MASTER_RATES'!A$9:E$12,2,FALSE),0)), "")</f>
      </c>
      <c r="J57" s="10">
        <f>IFERROR(IF(OR(C15="", H57="", I57=""), "", I57-H57), "")</f>
      </c>
      <c r="K57" s="10">
        <f>IFERROR(IF(OR(C15="", E57=""), "", E57*IFERROR(VLOOKUP(D15,'1_MASTER_RATES'!A$9:E$12,3,FALSE),0)), "")</f>
      </c>
      <c r="L57" s="10">
        <f>IFERROR(IF(OR(C15="", F57=""), "", F57*IFERROR(VLOOKUP(D15,'1_MASTER_RATES'!A$9:E$12,3,FALSE),0)), "")</f>
      </c>
      <c r="M57" s="10">
        <f>IFERROR(IF(OR(C15="", K57="", L57=""), "", L57-K57), "")</f>
      </c>
      <c r="N57" s="10">
        <f>IFERROR(IF(C15="","", H57+K57), "")</f>
      </c>
      <c r="O57" s="10">
        <f>IFERROR(IF(C15="","", I57+L57), "")</f>
      </c>
      <c r="P57" s="10">
        <f>IFERROR(IF(C15="","", O57-N57), "")</f>
      </c>
    </row>
    <row r="58" spans="1:16" x14ac:dyDescent="0.25">
      <c r="A58" s="9">
        <f>IFERROR(IF(A16="","",A16),"")</f>
      </c>
      <c r="B58" s="9">
        <f>IFERROR(IF(B16="","",B16),"")</f>
      </c>
      <c r="C58" s="9">
        <f>IFERROR(IF(C16="","",C16),"")</f>
      </c>
      <c r="D58" s="9">
        <f>IFERROR(IF(D16="","",D16),"")</f>
      </c>
      <c r="E58" s="15">
        <f>IFERROR(IF(OR(C16="", F16="", H16="", F16=0, H16=0), "", E16/(F16*H16)), "")</f>
      </c>
      <c r="F58" s="15">
        <f>IFERROR(IF(OR(C16="", G16="", I16="", G16=0, I16=0), "", E16/(G16*I16)), "")</f>
      </c>
      <c r="G58" s="15">
        <f>IFERROR(IF(OR(C16="", E58="", F58=""), "", F58-E58), "")</f>
      </c>
      <c r="H58" s="10">
        <f>IFERROR(IF(OR(C16="", E58=""), "", E58*IFERROR(VLOOKUP(D16,'1_MASTER_RATES'!A$9:E$12,2,FALSE),0)), "")</f>
      </c>
      <c r="I58" s="10">
        <f>IFERROR(IF(OR(C16="", F58=""), "", F58*IFERROR(VLOOKUP(D16,'1_MASTER_RATES'!A$9:E$12,2,FALSE),0)), "")</f>
      </c>
      <c r="J58" s="10">
        <f>IFERROR(IF(OR(C16="", H58="", I58=""), "", I58-H58), "")</f>
      </c>
      <c r="K58" s="10">
        <f>IFERROR(IF(OR(C16="", E58=""), "", E58*IFERROR(VLOOKUP(D16,'1_MASTER_RATES'!A$9:E$12,3,FALSE),0)), "")</f>
      </c>
      <c r="L58" s="10">
        <f>IFERROR(IF(OR(C16="", F58=""), "", F58*IFERROR(VLOOKUP(D16,'1_MASTER_RATES'!A$9:E$12,3,FALSE),0)), "")</f>
      </c>
      <c r="M58" s="10">
        <f>IFERROR(IF(OR(C16="", K58="", L58=""), "", L58-K58), "")</f>
      </c>
      <c r="N58" s="10">
        <f>IFERROR(IF(C16="","", H58+K58), "")</f>
      </c>
      <c r="O58" s="10">
        <f>IFERROR(IF(C16="","", I58+L58), "")</f>
      </c>
      <c r="P58" s="10">
        <f>IFERROR(IF(C16="","", O58-N58), "")</f>
      </c>
    </row>
    <row r="59" spans="1:16" x14ac:dyDescent="0.25">
      <c r="A59" s="9">
        <f>IFERROR(IF(A17="","",A17),"")</f>
      </c>
      <c r="B59" s="9">
        <f>IFERROR(IF(B17="","",B17),"")</f>
      </c>
      <c r="C59" s="9">
        <f>IFERROR(IF(C17="","",C17),"")</f>
      </c>
      <c r="D59" s="9">
        <f>IFERROR(IF(D17="","",D17),"")</f>
      </c>
      <c r="E59" s="15">
        <f>IFERROR(IF(OR(C17="", F17="", H17="", F17=0, H17=0), "", E17/(F17*H17)), "")</f>
      </c>
      <c r="F59" s="15">
        <f>IFERROR(IF(OR(C17="", G17="", I17="", G17=0, I17=0), "", E17/(G17*I17)), "")</f>
      </c>
      <c r="G59" s="15">
        <f>IFERROR(IF(OR(C17="", E59="", F59=""), "", F59-E59), "")</f>
      </c>
      <c r="H59" s="10">
        <f>IFERROR(IF(OR(C17="", E59=""), "", E59*IFERROR(VLOOKUP(D17,'1_MASTER_RATES'!A$9:E$12,2,FALSE),0)), "")</f>
      </c>
      <c r="I59" s="10">
        <f>IFERROR(IF(OR(C17="", F59=""), "", F59*IFERROR(VLOOKUP(D17,'1_MASTER_RATES'!A$9:E$12,2,FALSE),0)), "")</f>
      </c>
      <c r="J59" s="10">
        <f>IFERROR(IF(OR(C17="", H59="", I59=""), "", I59-H59), "")</f>
      </c>
      <c r="K59" s="10">
        <f>IFERROR(IF(OR(C17="", E59=""), "", E59*IFERROR(VLOOKUP(D17,'1_MASTER_RATES'!A$9:E$12,3,FALSE),0)), "")</f>
      </c>
      <c r="L59" s="10">
        <f>IFERROR(IF(OR(C17="", F59=""), "", F59*IFERROR(VLOOKUP(D17,'1_MASTER_RATES'!A$9:E$12,3,FALSE),0)), "")</f>
      </c>
      <c r="M59" s="10">
        <f>IFERROR(IF(OR(C17="", K59="", L59=""), "", L59-K59), "")</f>
      </c>
      <c r="N59" s="10">
        <f>IFERROR(IF(C17="","", H59+K59), "")</f>
      </c>
      <c r="O59" s="10">
        <f>IFERROR(IF(C17="","", I59+L59), "")</f>
      </c>
      <c r="P59" s="10">
        <f>IFERROR(IF(C17="","", O59-N59), "")</f>
      </c>
    </row>
    <row r="60" spans="1:16" x14ac:dyDescent="0.25">
      <c r="A60" s="9">
        <f>IFERROR(IF(A18="","",A18),"")</f>
      </c>
      <c r="B60" s="9">
        <f>IFERROR(IF(B18="","",B18),"")</f>
      </c>
      <c r="C60" s="9">
        <f>IFERROR(IF(C18="","",C18),"")</f>
      </c>
      <c r="D60" s="9">
        <f>IFERROR(IF(D18="","",D18),"")</f>
      </c>
      <c r="E60" s="15">
        <f>IFERROR(IF(OR(C18="", F18="", H18="", F18=0, H18=0), "", E18/(F18*H18)), "")</f>
      </c>
      <c r="F60" s="15">
        <f>IFERROR(IF(OR(C18="", G18="", I18="", G18=0, I18=0), "", E18/(G18*I18)), "")</f>
      </c>
      <c r="G60" s="15">
        <f>IFERROR(IF(OR(C18="", E60="", F60=""), "", F60-E60), "")</f>
      </c>
      <c r="H60" s="10">
        <f>IFERROR(IF(OR(C18="", E60=""), "", E60*IFERROR(VLOOKUP(D18,'1_MASTER_RATES'!A$9:E$12,2,FALSE),0)), "")</f>
      </c>
      <c r="I60" s="10">
        <f>IFERROR(IF(OR(C18="", F60=""), "", F60*IFERROR(VLOOKUP(D18,'1_MASTER_RATES'!A$9:E$12,2,FALSE),0)), "")</f>
      </c>
      <c r="J60" s="10">
        <f>IFERROR(IF(OR(C18="", H60="", I60=""), "", I60-H60), "")</f>
      </c>
      <c r="K60" s="10">
        <f>IFERROR(IF(OR(C18="", E60=""), "", E60*IFERROR(VLOOKUP(D18,'1_MASTER_RATES'!A$9:E$12,3,FALSE),0)), "")</f>
      </c>
      <c r="L60" s="10">
        <f>IFERROR(IF(OR(C18="", F60=""), "", F60*IFERROR(VLOOKUP(D18,'1_MASTER_RATES'!A$9:E$12,3,FALSE),0)), "")</f>
      </c>
      <c r="M60" s="10">
        <f>IFERROR(IF(OR(C18="", K60="", L60=""), "", L60-K60), "")</f>
      </c>
      <c r="N60" s="10">
        <f>IFERROR(IF(C18="","", H60+K60), "")</f>
      </c>
      <c r="O60" s="10">
        <f>IFERROR(IF(C18="","", I60+L60), "")</f>
      </c>
      <c r="P60" s="10">
        <f>IFERROR(IF(C18="","", O60-N60), "")</f>
      </c>
    </row>
    <row r="61" spans="1:16" x14ac:dyDescent="0.25">
      <c r="A61" s="9">
        <f>IFERROR(IF(A19="","",A19),"")</f>
      </c>
      <c r="B61" s="9">
        <f>IFERROR(IF(B19="","",B19),"")</f>
      </c>
      <c r="C61" s="9">
        <f>IFERROR(IF(C19="","",C19),"")</f>
      </c>
      <c r="D61" s="9">
        <f>IFERROR(IF(D19="","",D19),"")</f>
      </c>
      <c r="E61" s="15">
        <f>IFERROR(IF(OR(C19="", F19="", H19="", F19=0, H19=0), "", E19/(F19*H19)), "")</f>
      </c>
      <c r="F61" s="15">
        <f>IFERROR(IF(OR(C19="", G19="", I19="", G19=0, I19=0), "", E19/(G19*I19)), "")</f>
      </c>
      <c r="G61" s="15">
        <f>IFERROR(IF(OR(C19="", E61="", F61=""), "", F61-E61), "")</f>
      </c>
      <c r="H61" s="10">
        <f>IFERROR(IF(OR(C19="", E61=""), "", E61*IFERROR(VLOOKUP(D19,'1_MASTER_RATES'!A$9:E$12,2,FALSE),0)), "")</f>
      </c>
      <c r="I61" s="10">
        <f>IFERROR(IF(OR(C19="", F61=""), "", F61*IFERROR(VLOOKUP(D19,'1_MASTER_RATES'!A$9:E$12,2,FALSE),0)), "")</f>
      </c>
      <c r="J61" s="10">
        <f>IFERROR(IF(OR(C19="", H61="", I61=""), "", I61-H61), "")</f>
      </c>
      <c r="K61" s="10">
        <f>IFERROR(IF(OR(C19="", E61=""), "", E61*IFERROR(VLOOKUP(D19,'1_MASTER_RATES'!A$9:E$12,3,FALSE),0)), "")</f>
      </c>
      <c r="L61" s="10">
        <f>IFERROR(IF(OR(C19="", F61=""), "", F61*IFERROR(VLOOKUP(D19,'1_MASTER_RATES'!A$9:E$12,3,FALSE),0)), "")</f>
      </c>
      <c r="M61" s="10">
        <f>IFERROR(IF(OR(C19="", K61="", L61=""), "", L61-K61), "")</f>
      </c>
      <c r="N61" s="10">
        <f>IFERROR(IF(C19="","", H61+K61), "")</f>
      </c>
      <c r="O61" s="10">
        <f>IFERROR(IF(C19="","", I61+L61), "")</f>
      </c>
      <c r="P61" s="10">
        <f>IFERROR(IF(C19="","", O61-N61), "")</f>
      </c>
    </row>
    <row r="62" spans="1:16" x14ac:dyDescent="0.25">
      <c r="A62" s="9">
        <f>IFERROR(IF(A20="","",A20),"")</f>
      </c>
      <c r="B62" s="9">
        <f>IFERROR(IF(B20="","",B20),"")</f>
      </c>
      <c r="C62" s="9">
        <f>IFERROR(IF(C20="","",C20),"")</f>
      </c>
      <c r="D62" s="9">
        <f>IFERROR(IF(D20="","",D20),"")</f>
      </c>
      <c r="E62" s="15">
        <f>IFERROR(IF(OR(C20="", F20="", H20="", F20=0, H20=0), "", E20/(F20*H20)), "")</f>
      </c>
      <c r="F62" s="15">
        <f>IFERROR(IF(OR(C20="", G20="", I20="", G20=0, I20=0), "", E20/(G20*I20)), "")</f>
      </c>
      <c r="G62" s="15">
        <f>IFERROR(IF(OR(C20="", E62="", F62=""), "", F62-E62), "")</f>
      </c>
      <c r="H62" s="10">
        <f>IFERROR(IF(OR(C20="", E62=""), "", E62*IFERROR(VLOOKUP(D20,'1_MASTER_RATES'!A$9:E$12,2,FALSE),0)), "")</f>
      </c>
      <c r="I62" s="10">
        <f>IFERROR(IF(OR(C20="", F62=""), "", F62*IFERROR(VLOOKUP(D20,'1_MASTER_RATES'!A$9:E$12,2,FALSE),0)), "")</f>
      </c>
      <c r="J62" s="10">
        <f>IFERROR(IF(OR(C20="", H62="", I62=""), "", I62-H62), "")</f>
      </c>
      <c r="K62" s="10">
        <f>IFERROR(IF(OR(C20="", E62=""), "", E62*IFERROR(VLOOKUP(D20,'1_MASTER_RATES'!A$9:E$12,3,FALSE),0)), "")</f>
      </c>
      <c r="L62" s="10">
        <f>IFERROR(IF(OR(C20="", F62=""), "", F62*IFERROR(VLOOKUP(D20,'1_MASTER_RATES'!A$9:E$12,3,FALSE),0)), "")</f>
      </c>
      <c r="M62" s="10">
        <f>IFERROR(IF(OR(C20="", K62="", L62=""), "", L62-K62), "")</f>
      </c>
      <c r="N62" s="10">
        <f>IFERROR(IF(C20="","", H62+K62), "")</f>
      </c>
      <c r="O62" s="10">
        <f>IFERROR(IF(C20="","", I62+L62), "")</f>
      </c>
      <c r="P62" s="10">
        <f>IFERROR(IF(C20="","", O62-N62), "")</f>
      </c>
    </row>
    <row r="63" spans="1:16" x14ac:dyDescent="0.25">
      <c r="A63" s="9">
        <f>IFERROR(IF(A21="","",A21),"")</f>
      </c>
      <c r="B63" s="9">
        <f>IFERROR(IF(B21="","",B21),"")</f>
      </c>
      <c r="C63" s="9">
        <f>IFERROR(IF(C21="","",C21),"")</f>
      </c>
      <c r="D63" s="9">
        <f>IFERROR(IF(D21="","",D21),"")</f>
      </c>
      <c r="E63" s="15">
        <f>IFERROR(IF(OR(C21="", F21="", H21="", F21=0, H21=0), "", E21/(F21*H21)), "")</f>
      </c>
      <c r="F63" s="15">
        <f>IFERROR(IF(OR(C21="", G21="", I21="", G21=0, I21=0), "", E21/(G21*I21)), "")</f>
      </c>
      <c r="G63" s="15">
        <f>IFERROR(IF(OR(C21="", E63="", F63=""), "", F63-E63), "")</f>
      </c>
      <c r="H63" s="10">
        <f>IFERROR(IF(OR(C21="", E63=""), "", E63*IFERROR(VLOOKUP(D21,'1_MASTER_RATES'!A$9:E$12,2,FALSE),0)), "")</f>
      </c>
      <c r="I63" s="10">
        <f>IFERROR(IF(OR(C21="", F63=""), "", F63*IFERROR(VLOOKUP(D21,'1_MASTER_RATES'!A$9:E$12,2,FALSE),0)), "")</f>
      </c>
      <c r="J63" s="10">
        <f>IFERROR(IF(OR(C21="", H63="", I63=""), "", I63-H63), "")</f>
      </c>
      <c r="K63" s="10">
        <f>IFERROR(IF(OR(C21="", E63=""), "", E63*IFERROR(VLOOKUP(D21,'1_MASTER_RATES'!A$9:E$12,3,FALSE),0)), "")</f>
      </c>
      <c r="L63" s="10">
        <f>IFERROR(IF(OR(C21="", F63=""), "", F63*IFERROR(VLOOKUP(D21,'1_MASTER_RATES'!A$9:E$12,3,FALSE),0)), "")</f>
      </c>
      <c r="M63" s="10">
        <f>IFERROR(IF(OR(C21="", K63="", L63=""), "", L63-K63), "")</f>
      </c>
      <c r="N63" s="10">
        <f>IFERROR(IF(C21="","", H63+K63), "")</f>
      </c>
      <c r="O63" s="10">
        <f>IFERROR(IF(C21="","", I63+L63), "")</f>
      </c>
      <c r="P63" s="10">
        <f>IFERROR(IF(C21="","", O63-N63), "")</f>
      </c>
    </row>
    <row r="64" spans="1:16" x14ac:dyDescent="0.25">
      <c r="A64" s="9">
        <f>IFERROR(IF(A22="","",A22),"")</f>
      </c>
      <c r="B64" s="9">
        <f>IFERROR(IF(B22="","",B22),"")</f>
      </c>
      <c r="C64" s="9">
        <f>IFERROR(IF(C22="","",C22),"")</f>
      </c>
      <c r="D64" s="9">
        <f>IFERROR(IF(D22="","",D22),"")</f>
      </c>
      <c r="E64" s="15">
        <f>IFERROR(IF(OR(C22="", F22="", H22="", F22=0, H22=0), "", E22/(F22*H22)), "")</f>
      </c>
      <c r="F64" s="15">
        <f>IFERROR(IF(OR(C22="", G22="", I22="", G22=0, I22=0), "", E22/(G22*I22)), "")</f>
      </c>
      <c r="G64" s="15">
        <f>IFERROR(IF(OR(C22="", E64="", F64=""), "", F64-E64), "")</f>
      </c>
      <c r="H64" s="10">
        <f>IFERROR(IF(OR(C22="", E64=""), "", E64*IFERROR(VLOOKUP(D22,'1_MASTER_RATES'!A$9:E$12,2,FALSE),0)), "")</f>
      </c>
      <c r="I64" s="10">
        <f>IFERROR(IF(OR(C22="", F64=""), "", F64*IFERROR(VLOOKUP(D22,'1_MASTER_RATES'!A$9:E$12,2,FALSE),0)), "")</f>
      </c>
      <c r="J64" s="10">
        <f>IFERROR(IF(OR(C22="", H64="", I64=""), "", I64-H64), "")</f>
      </c>
      <c r="K64" s="10">
        <f>IFERROR(IF(OR(C22="", E64=""), "", E64*IFERROR(VLOOKUP(D22,'1_MASTER_RATES'!A$9:E$12,3,FALSE),0)), "")</f>
      </c>
      <c r="L64" s="10">
        <f>IFERROR(IF(OR(C22="", F64=""), "", F64*IFERROR(VLOOKUP(D22,'1_MASTER_RATES'!A$9:E$12,3,FALSE),0)), "")</f>
      </c>
      <c r="M64" s="10">
        <f>IFERROR(IF(OR(C22="", K64="", L64=""), "", L64-K64), "")</f>
      </c>
      <c r="N64" s="10">
        <f>IFERROR(IF(C22="","", H64+K64), "")</f>
      </c>
      <c r="O64" s="10">
        <f>IFERROR(IF(C22="","", I64+L64), "")</f>
      </c>
      <c r="P64" s="10">
        <f>IFERROR(IF(C22="","", O64-N64), "")</f>
      </c>
    </row>
    <row r="65" spans="1:16" x14ac:dyDescent="0.25">
      <c r="A65" s="9">
        <f>IFERROR(IF(A23="","",A23),"")</f>
      </c>
      <c r="B65" s="9">
        <f>IFERROR(IF(B23="","",B23),"")</f>
      </c>
      <c r="C65" s="9">
        <f>IFERROR(IF(C23="","",C23),"")</f>
      </c>
      <c r="D65" s="9">
        <f>IFERROR(IF(D23="","",D23),"")</f>
      </c>
      <c r="E65" s="15">
        <f>IFERROR(IF(OR(C23="", F23="", H23="", F23=0, H23=0), "", E23/(F23*H23)), "")</f>
      </c>
      <c r="F65" s="15">
        <f>IFERROR(IF(OR(C23="", G23="", I23="", G23=0, I23=0), "", E23/(G23*I23)), "")</f>
      </c>
      <c r="G65" s="15">
        <f>IFERROR(IF(OR(C23="", E65="", F65=""), "", F65-E65), "")</f>
      </c>
      <c r="H65" s="10">
        <f>IFERROR(IF(OR(C23="", E65=""), "", E65*IFERROR(VLOOKUP(D23,'1_MASTER_RATES'!A$9:E$12,2,FALSE),0)), "")</f>
      </c>
      <c r="I65" s="10">
        <f>IFERROR(IF(OR(C23="", F65=""), "", F65*IFERROR(VLOOKUP(D23,'1_MASTER_RATES'!A$9:E$12,2,FALSE),0)), "")</f>
      </c>
      <c r="J65" s="10">
        <f>IFERROR(IF(OR(C23="", H65="", I65=""), "", I65-H65), "")</f>
      </c>
      <c r="K65" s="10">
        <f>IFERROR(IF(OR(C23="", E65=""), "", E65*IFERROR(VLOOKUP(D23,'1_MASTER_RATES'!A$9:E$12,3,FALSE),0)), "")</f>
      </c>
      <c r="L65" s="10">
        <f>IFERROR(IF(OR(C23="", F65=""), "", F65*IFERROR(VLOOKUP(D23,'1_MASTER_RATES'!A$9:E$12,3,FALSE),0)), "")</f>
      </c>
      <c r="M65" s="10">
        <f>IFERROR(IF(OR(C23="", K65="", L65=""), "", L65-K65), "")</f>
      </c>
      <c r="N65" s="10">
        <f>IFERROR(IF(C23="","", H65+K65), "")</f>
      </c>
      <c r="O65" s="10">
        <f>IFERROR(IF(C23="","", I65+L65), "")</f>
      </c>
      <c r="P65" s="10">
        <f>IFERROR(IF(C23="","", O65-N65), "")</f>
      </c>
    </row>
    <row r="66" spans="1:16" x14ac:dyDescent="0.25">
      <c r="A66" s="9">
        <f>IFERROR(IF(A24="","",A24),"")</f>
      </c>
      <c r="B66" s="9">
        <f>IFERROR(IF(B24="","",B24),"")</f>
      </c>
      <c r="C66" s="9">
        <f>IFERROR(IF(C24="","",C24),"")</f>
      </c>
      <c r="D66" s="9">
        <f>IFERROR(IF(D24="","",D24),"")</f>
      </c>
      <c r="E66" s="15">
        <f>IFERROR(IF(OR(C24="", F24="", H24="", F24=0, H24=0), "", E24/(F24*H24)), "")</f>
      </c>
      <c r="F66" s="15">
        <f>IFERROR(IF(OR(C24="", G24="", I24="", G24=0, I24=0), "", E24/(G24*I24)), "")</f>
      </c>
      <c r="G66" s="15">
        <f>IFERROR(IF(OR(C24="", E66="", F66=""), "", F66-E66), "")</f>
      </c>
      <c r="H66" s="10">
        <f>IFERROR(IF(OR(C24="", E66=""), "", E66*IFERROR(VLOOKUP(D24,'1_MASTER_RATES'!A$9:E$12,2,FALSE),0)), "")</f>
      </c>
      <c r="I66" s="10">
        <f>IFERROR(IF(OR(C24="", F66=""), "", F66*IFERROR(VLOOKUP(D24,'1_MASTER_RATES'!A$9:E$12,2,FALSE),0)), "")</f>
      </c>
      <c r="J66" s="10">
        <f>IFERROR(IF(OR(C24="", H66="", I66=""), "", I66-H66), "")</f>
      </c>
      <c r="K66" s="10">
        <f>IFERROR(IF(OR(C24="", E66=""), "", E66*IFERROR(VLOOKUP(D24,'1_MASTER_RATES'!A$9:E$12,3,FALSE),0)), "")</f>
      </c>
      <c r="L66" s="10">
        <f>IFERROR(IF(OR(C24="", F66=""), "", F66*IFERROR(VLOOKUP(D24,'1_MASTER_RATES'!A$9:E$12,3,FALSE),0)), "")</f>
      </c>
      <c r="M66" s="10">
        <f>IFERROR(IF(OR(C24="", K66="", L66=""), "", L66-K66), "")</f>
      </c>
      <c r="N66" s="10">
        <f>IFERROR(IF(C24="","", H66+K66), "")</f>
      </c>
      <c r="O66" s="10">
        <f>IFERROR(IF(C24="","", I66+L66), "")</f>
      </c>
      <c r="P66" s="10">
        <f>IFERROR(IF(C24="","", O66-N66), "")</f>
      </c>
    </row>
    <row r="67" spans="1:16" x14ac:dyDescent="0.25">
      <c r="A67" s="9">
        <f>IFERROR(IF(A25="","",A25),"")</f>
      </c>
      <c r="B67" s="9">
        <f>IFERROR(IF(B25="","",B25),"")</f>
      </c>
      <c r="C67" s="9">
        <f>IFERROR(IF(C25="","",C25),"")</f>
      </c>
      <c r="D67" s="9">
        <f>IFERROR(IF(D25="","",D25),"")</f>
      </c>
      <c r="E67" s="15">
        <f>IFERROR(IF(OR(C25="", F25="", H25="", F25=0, H25=0), "", E25/(F25*H25)), "")</f>
      </c>
      <c r="F67" s="15">
        <f>IFERROR(IF(OR(C25="", G25="", I25="", G25=0, I25=0), "", E25/(G25*I25)), "")</f>
      </c>
      <c r="G67" s="15">
        <f>IFERROR(IF(OR(C25="", E67="", F67=""), "", F67-E67), "")</f>
      </c>
      <c r="H67" s="10">
        <f>IFERROR(IF(OR(C25="", E67=""), "", E67*IFERROR(VLOOKUP(D25,'1_MASTER_RATES'!A$9:E$12,2,FALSE),0)), "")</f>
      </c>
      <c r="I67" s="10">
        <f>IFERROR(IF(OR(C25="", F67=""), "", F67*IFERROR(VLOOKUP(D25,'1_MASTER_RATES'!A$9:E$12,2,FALSE),0)), "")</f>
      </c>
      <c r="J67" s="10">
        <f>IFERROR(IF(OR(C25="", H67="", I67=""), "", I67-H67), "")</f>
      </c>
      <c r="K67" s="10">
        <f>IFERROR(IF(OR(C25="", E67=""), "", E67*IFERROR(VLOOKUP(D25,'1_MASTER_RATES'!A$9:E$12,3,FALSE),0)), "")</f>
      </c>
      <c r="L67" s="10">
        <f>IFERROR(IF(OR(C25="", F67=""), "", F67*IFERROR(VLOOKUP(D25,'1_MASTER_RATES'!A$9:E$12,3,FALSE),0)), "")</f>
      </c>
      <c r="M67" s="10">
        <f>IFERROR(IF(OR(C25="", K67="", L67=""), "", L67-K67), "")</f>
      </c>
      <c r="N67" s="10">
        <f>IFERROR(IF(C25="","", H67+K67), "")</f>
      </c>
      <c r="O67" s="10">
        <f>IFERROR(IF(C25="","", I67+L67), "")</f>
      </c>
      <c r="P67" s="10">
        <f>IFERROR(IF(C25="","", O67-N67), "")</f>
      </c>
    </row>
    <row r="68" spans="1:16" x14ac:dyDescent="0.25">
      <c r="A68" s="9">
        <f>IFERROR(IF(A26="","",A26),"")</f>
      </c>
      <c r="B68" s="9">
        <f>IFERROR(IF(B26="","",B26),"")</f>
      </c>
      <c r="C68" s="9">
        <f>IFERROR(IF(C26="","",C26),"")</f>
      </c>
      <c r="D68" s="9">
        <f>IFERROR(IF(D26="","",D26),"")</f>
      </c>
      <c r="E68" s="15">
        <f>IFERROR(IF(OR(C26="", F26="", H26="", F26=0, H26=0), "", E26/(F26*H26)), "")</f>
      </c>
      <c r="F68" s="15">
        <f>IFERROR(IF(OR(C26="", G26="", I26="", G26=0, I26=0), "", E26/(G26*I26)), "")</f>
      </c>
      <c r="G68" s="15">
        <f>IFERROR(IF(OR(C26="", E68="", F68=""), "", F68-E68), "")</f>
      </c>
      <c r="H68" s="10">
        <f>IFERROR(IF(OR(C26="", E68=""), "", E68*IFERROR(VLOOKUP(D26,'1_MASTER_RATES'!A$9:E$12,2,FALSE),0)), "")</f>
      </c>
      <c r="I68" s="10">
        <f>IFERROR(IF(OR(C26="", F68=""), "", F68*IFERROR(VLOOKUP(D26,'1_MASTER_RATES'!A$9:E$12,2,FALSE),0)), "")</f>
      </c>
      <c r="J68" s="10">
        <f>IFERROR(IF(OR(C26="", H68="", I68=""), "", I68-H68), "")</f>
      </c>
      <c r="K68" s="10">
        <f>IFERROR(IF(OR(C26="", E68=""), "", E68*IFERROR(VLOOKUP(D26,'1_MASTER_RATES'!A$9:E$12,3,FALSE),0)), "")</f>
      </c>
      <c r="L68" s="10">
        <f>IFERROR(IF(OR(C26="", F68=""), "", F68*IFERROR(VLOOKUP(D26,'1_MASTER_RATES'!A$9:E$12,3,FALSE),0)), "")</f>
      </c>
      <c r="M68" s="10">
        <f>IFERROR(IF(OR(C26="", K68="", L68=""), "", L68-K68), "")</f>
      </c>
      <c r="N68" s="10">
        <f>IFERROR(IF(C26="","", H68+K68), "")</f>
      </c>
      <c r="O68" s="10">
        <f>IFERROR(IF(C26="","", I68+L68), "")</f>
      </c>
      <c r="P68" s="10">
        <f>IFERROR(IF(C26="","", O68-N68), "")</f>
      </c>
    </row>
    <row r="69" spans="1:16" x14ac:dyDescent="0.25">
      <c r="A69" s="9">
        <f>IFERROR(IF(A27="","",A27),"")</f>
      </c>
      <c r="B69" s="9">
        <f>IFERROR(IF(B27="","",B27),"")</f>
      </c>
      <c r="C69" s="9">
        <f>IFERROR(IF(C27="","",C27),"")</f>
      </c>
      <c r="D69" s="9">
        <f>IFERROR(IF(D27="","",D27),"")</f>
      </c>
      <c r="E69" s="15">
        <f>IFERROR(IF(OR(C27="", F27="", H27="", F27=0, H27=0), "", E27/(F27*H27)), "")</f>
      </c>
      <c r="F69" s="15">
        <f>IFERROR(IF(OR(C27="", G27="", I27="", G27=0, I27=0), "", E27/(G27*I27)), "")</f>
      </c>
      <c r="G69" s="15">
        <f>IFERROR(IF(OR(C27="", E69="", F69=""), "", F69-E69), "")</f>
      </c>
      <c r="H69" s="10">
        <f>IFERROR(IF(OR(C27="", E69=""), "", E69*IFERROR(VLOOKUP(D27,'1_MASTER_RATES'!A$9:E$12,2,FALSE),0)), "")</f>
      </c>
      <c r="I69" s="10">
        <f>IFERROR(IF(OR(C27="", F69=""), "", F69*IFERROR(VLOOKUP(D27,'1_MASTER_RATES'!A$9:E$12,2,FALSE),0)), "")</f>
      </c>
      <c r="J69" s="10">
        <f>IFERROR(IF(OR(C27="", H69="", I69=""), "", I69-H69), "")</f>
      </c>
      <c r="K69" s="10">
        <f>IFERROR(IF(OR(C27="", E69=""), "", E69*IFERROR(VLOOKUP(D27,'1_MASTER_RATES'!A$9:E$12,3,FALSE),0)), "")</f>
      </c>
      <c r="L69" s="10">
        <f>IFERROR(IF(OR(C27="", F69=""), "", F69*IFERROR(VLOOKUP(D27,'1_MASTER_RATES'!A$9:E$12,3,FALSE),0)), "")</f>
      </c>
      <c r="M69" s="10">
        <f>IFERROR(IF(OR(C27="", K69="", L69=""), "", L69-K69), "")</f>
      </c>
      <c r="N69" s="10">
        <f>IFERROR(IF(C27="","", H69+K69), "")</f>
      </c>
      <c r="O69" s="10">
        <f>IFERROR(IF(C27="","", I69+L69), "")</f>
      </c>
      <c r="P69" s="10">
        <f>IFERROR(IF(C27="","", O69-N69), "")</f>
      </c>
    </row>
    <row r="70" spans="1:16" x14ac:dyDescent="0.25">
      <c r="A70" s="9">
        <f>IFERROR(IF(A28="","",A28),"")</f>
      </c>
      <c r="B70" s="9">
        <f>IFERROR(IF(B28="","",B28),"")</f>
      </c>
      <c r="C70" s="9">
        <f>IFERROR(IF(C28="","",C28),"")</f>
      </c>
      <c r="D70" s="9">
        <f>IFERROR(IF(D28="","",D28),"")</f>
      </c>
      <c r="E70" s="15">
        <f>IFERROR(IF(OR(C28="", F28="", H28="", F28=0, H28=0), "", E28/(F28*H28)), "")</f>
      </c>
      <c r="F70" s="15">
        <f>IFERROR(IF(OR(C28="", G28="", I28="", G28=0, I28=0), "", E28/(G28*I28)), "")</f>
      </c>
      <c r="G70" s="15">
        <f>IFERROR(IF(OR(C28="", E70="", F70=""), "", F70-E70), "")</f>
      </c>
      <c r="H70" s="10">
        <f>IFERROR(IF(OR(C28="", E70=""), "", E70*IFERROR(VLOOKUP(D28,'1_MASTER_RATES'!A$9:E$12,2,FALSE),0)), "")</f>
      </c>
      <c r="I70" s="10">
        <f>IFERROR(IF(OR(C28="", F70=""), "", F70*IFERROR(VLOOKUP(D28,'1_MASTER_RATES'!A$9:E$12,2,FALSE),0)), "")</f>
      </c>
      <c r="J70" s="10">
        <f>IFERROR(IF(OR(C28="", H70="", I70=""), "", I70-H70), "")</f>
      </c>
      <c r="K70" s="10">
        <f>IFERROR(IF(OR(C28="", E70=""), "", E70*IFERROR(VLOOKUP(D28,'1_MASTER_RATES'!A$9:E$12,3,FALSE),0)), "")</f>
      </c>
      <c r="L70" s="10">
        <f>IFERROR(IF(OR(C28="", F70=""), "", F70*IFERROR(VLOOKUP(D28,'1_MASTER_RATES'!A$9:E$12,3,FALSE),0)), "")</f>
      </c>
      <c r="M70" s="10">
        <f>IFERROR(IF(OR(C28="", K70="", L70=""), "", L70-K70), "")</f>
      </c>
      <c r="N70" s="10">
        <f>IFERROR(IF(C28="","", H70+K70), "")</f>
      </c>
      <c r="O70" s="10">
        <f>IFERROR(IF(C28="","", I70+L70), "")</f>
      </c>
      <c r="P70" s="10">
        <f>IFERROR(IF(C28="","", O70-N70), "")</f>
      </c>
    </row>
    <row r="71" spans="1:16" x14ac:dyDescent="0.25">
      <c r="A71" s="9">
        <f>IFERROR(IF(A29="","",A29),"")</f>
      </c>
      <c r="B71" s="9">
        <f>IFERROR(IF(B29="","",B29),"")</f>
      </c>
      <c r="C71" s="9">
        <f>IFERROR(IF(C29="","",C29),"")</f>
      </c>
      <c r="D71" s="9">
        <f>IFERROR(IF(D29="","",D29),"")</f>
      </c>
      <c r="E71" s="15">
        <f>IFERROR(IF(OR(C29="", F29="", H29="", F29=0, H29=0), "", E29/(F29*H29)), "")</f>
      </c>
      <c r="F71" s="15">
        <f>IFERROR(IF(OR(C29="", G29="", I29="", G29=0, I29=0), "", E29/(G29*I29)), "")</f>
      </c>
      <c r="G71" s="15">
        <f>IFERROR(IF(OR(C29="", E71="", F71=""), "", F71-E71), "")</f>
      </c>
      <c r="H71" s="10">
        <f>IFERROR(IF(OR(C29="", E71=""), "", E71*IFERROR(VLOOKUP(D29,'1_MASTER_RATES'!A$9:E$12,2,FALSE),0)), "")</f>
      </c>
      <c r="I71" s="10">
        <f>IFERROR(IF(OR(C29="", F71=""), "", F71*IFERROR(VLOOKUP(D29,'1_MASTER_RATES'!A$9:E$12,2,FALSE),0)), "")</f>
      </c>
      <c r="J71" s="10">
        <f>IFERROR(IF(OR(C29="", H71="", I71=""), "", I71-H71), "")</f>
      </c>
      <c r="K71" s="10">
        <f>IFERROR(IF(OR(C29="", E71=""), "", E71*IFERROR(VLOOKUP(D29,'1_MASTER_RATES'!A$9:E$12,3,FALSE),0)), "")</f>
      </c>
      <c r="L71" s="10">
        <f>IFERROR(IF(OR(C29="", F71=""), "", F71*IFERROR(VLOOKUP(D29,'1_MASTER_RATES'!A$9:E$12,3,FALSE),0)), "")</f>
      </c>
      <c r="M71" s="10">
        <f>IFERROR(IF(OR(C29="", K71="", L71=""), "", L71-K71), "")</f>
      </c>
      <c r="N71" s="10">
        <f>IFERROR(IF(C29="","", H71+K71), "")</f>
      </c>
      <c r="O71" s="10">
        <f>IFERROR(IF(C29="","", I71+L71), "")</f>
      </c>
      <c r="P71" s="10">
        <f>IFERROR(IF(C29="","", O71-N71), "")</f>
      </c>
    </row>
    <row r="72" spans="1:16" x14ac:dyDescent="0.25">
      <c r="A72" s="9">
        <f>IFERROR(IF(A30="","",A30),"")</f>
      </c>
      <c r="B72" s="9">
        <f>IFERROR(IF(B30="","",B30),"")</f>
      </c>
      <c r="C72" s="9">
        <f>IFERROR(IF(C30="","",C30),"")</f>
      </c>
      <c r="D72" s="9">
        <f>IFERROR(IF(D30="","",D30),"")</f>
      </c>
      <c r="E72" s="15">
        <f>IFERROR(IF(OR(C30="", F30="", H30="", F30=0, H30=0), "", E30/(F30*H30)), "")</f>
      </c>
      <c r="F72" s="15">
        <f>IFERROR(IF(OR(C30="", G30="", I30="", G30=0, I30=0), "", E30/(G30*I30)), "")</f>
      </c>
      <c r="G72" s="15">
        <f>IFERROR(IF(OR(C30="", E72="", F72=""), "", F72-E72), "")</f>
      </c>
      <c r="H72" s="10">
        <f>IFERROR(IF(OR(C30="", E72=""), "", E72*IFERROR(VLOOKUP(D30,'1_MASTER_RATES'!A$9:E$12,2,FALSE),0)), "")</f>
      </c>
      <c r="I72" s="10">
        <f>IFERROR(IF(OR(C30="", F72=""), "", F72*IFERROR(VLOOKUP(D30,'1_MASTER_RATES'!A$9:E$12,2,FALSE),0)), "")</f>
      </c>
      <c r="J72" s="10">
        <f>IFERROR(IF(OR(C30="", H72="", I72=""), "", I72-H72), "")</f>
      </c>
      <c r="K72" s="10">
        <f>IFERROR(IF(OR(C30="", E72=""), "", E72*IFERROR(VLOOKUP(D30,'1_MASTER_RATES'!A$9:E$12,3,FALSE),0)), "")</f>
      </c>
      <c r="L72" s="10">
        <f>IFERROR(IF(OR(C30="", F72=""), "", F72*IFERROR(VLOOKUP(D30,'1_MASTER_RATES'!A$9:E$12,3,FALSE),0)), "")</f>
      </c>
      <c r="M72" s="10">
        <f>IFERROR(IF(OR(C30="", K72="", L72=""), "", L72-K72), "")</f>
      </c>
      <c r="N72" s="10">
        <f>IFERROR(IF(C30="","", H72+K72), "")</f>
      </c>
      <c r="O72" s="10">
        <f>IFERROR(IF(C30="","", I72+L72), "")</f>
      </c>
      <c r="P72" s="10">
        <f>IFERROR(IF(C30="","", O72-N72), "")</f>
      </c>
    </row>
    <row r="73" spans="1:16" x14ac:dyDescent="0.25">
      <c r="A73" s="9">
        <f>IFERROR(IF(A31="","",A31),"")</f>
      </c>
      <c r="B73" s="9">
        <f>IFERROR(IF(B31="","",B31),"")</f>
      </c>
      <c r="C73" s="9">
        <f>IFERROR(IF(C31="","",C31),"")</f>
      </c>
      <c r="D73" s="9">
        <f>IFERROR(IF(D31="","",D31),"")</f>
      </c>
      <c r="E73" s="15">
        <f>IFERROR(IF(OR(C31="", F31="", H31="", F31=0, H31=0), "", E31/(F31*H31)), "")</f>
      </c>
      <c r="F73" s="15">
        <f>IFERROR(IF(OR(C31="", G31="", I31="", G31=0, I31=0), "", E31/(G31*I31)), "")</f>
      </c>
      <c r="G73" s="15">
        <f>IFERROR(IF(OR(C31="", E73="", F73=""), "", F73-E73), "")</f>
      </c>
      <c r="H73" s="10">
        <f>IFERROR(IF(OR(C31="", E73=""), "", E73*IFERROR(VLOOKUP(D31,'1_MASTER_RATES'!A$9:E$12,2,FALSE),0)), "")</f>
      </c>
      <c r="I73" s="10">
        <f>IFERROR(IF(OR(C31="", F73=""), "", F73*IFERROR(VLOOKUP(D31,'1_MASTER_RATES'!A$9:E$12,2,FALSE),0)), "")</f>
      </c>
      <c r="J73" s="10">
        <f>IFERROR(IF(OR(C31="", H73="", I73=""), "", I73-H73), "")</f>
      </c>
      <c r="K73" s="10">
        <f>IFERROR(IF(OR(C31="", E73=""), "", E73*IFERROR(VLOOKUP(D31,'1_MASTER_RATES'!A$9:E$12,3,FALSE),0)), "")</f>
      </c>
      <c r="L73" s="10">
        <f>IFERROR(IF(OR(C31="", F73=""), "", F73*IFERROR(VLOOKUP(D31,'1_MASTER_RATES'!A$9:E$12,3,FALSE),0)), "")</f>
      </c>
      <c r="M73" s="10">
        <f>IFERROR(IF(OR(C31="", K73="", L73=""), "", L73-K73), "")</f>
      </c>
      <c r="N73" s="10">
        <f>IFERROR(IF(C31="","", H73+K73), "")</f>
      </c>
      <c r="O73" s="10">
        <f>IFERROR(IF(C31="","", I73+L73), "")</f>
      </c>
      <c r="P73" s="10">
        <f>IFERROR(IF(C31="","", O73-N73), "")</f>
      </c>
    </row>
    <row r="74" spans="1:16" x14ac:dyDescent="0.25">
      <c r="A74" s="9">
        <f>IFERROR(IF(A32="","",A32),"")</f>
      </c>
      <c r="B74" s="9">
        <f>IFERROR(IF(B32="","",B32),"")</f>
      </c>
      <c r="C74" s="9">
        <f>IFERROR(IF(C32="","",C32),"")</f>
      </c>
      <c r="D74" s="9">
        <f>IFERROR(IF(D32="","",D32),"")</f>
      </c>
      <c r="E74" s="15">
        <f>IFERROR(IF(OR(C32="", F32="", H32="", F32=0, H32=0), "", E32/(F32*H32)), "")</f>
      </c>
      <c r="F74" s="15">
        <f>IFERROR(IF(OR(C32="", G32="", I32="", G32=0, I32=0), "", E32/(G32*I32)), "")</f>
      </c>
      <c r="G74" s="15">
        <f>IFERROR(IF(OR(C32="", E74="", F74=""), "", F74-E74), "")</f>
      </c>
      <c r="H74" s="10">
        <f>IFERROR(IF(OR(C32="", E74=""), "", E74*IFERROR(VLOOKUP(D32,'1_MASTER_RATES'!A$9:E$12,2,FALSE),0)), "")</f>
      </c>
      <c r="I74" s="10">
        <f>IFERROR(IF(OR(C32="", F74=""), "", F74*IFERROR(VLOOKUP(D32,'1_MASTER_RATES'!A$9:E$12,2,FALSE),0)), "")</f>
      </c>
      <c r="J74" s="10">
        <f>IFERROR(IF(OR(C32="", H74="", I74=""), "", I74-H74), "")</f>
      </c>
      <c r="K74" s="10">
        <f>IFERROR(IF(OR(C32="", E74=""), "", E74*IFERROR(VLOOKUP(D32,'1_MASTER_RATES'!A$9:E$12,3,FALSE),0)), "")</f>
      </c>
      <c r="L74" s="10">
        <f>IFERROR(IF(OR(C32="", F74=""), "", F74*IFERROR(VLOOKUP(D32,'1_MASTER_RATES'!A$9:E$12,3,FALSE),0)), "")</f>
      </c>
      <c r="M74" s="10">
        <f>IFERROR(IF(OR(C32="", K74="", L74=""), "", L74-K74), "")</f>
      </c>
      <c r="N74" s="10">
        <f>IFERROR(IF(C32="","", H74+K74), "")</f>
      </c>
      <c r="O74" s="10">
        <f>IFERROR(IF(C32="","", I74+L74), "")</f>
      </c>
      <c r="P74" s="10">
        <f>IFERROR(IF(C32="","", O74-N74), "")</f>
      </c>
    </row>
    <row r="75" spans="1:16" x14ac:dyDescent="0.25">
      <c r="A75" s="9">
        <f>IFERROR(IF(A33="","",A33),"")</f>
      </c>
      <c r="B75" s="9">
        <f>IFERROR(IF(B33="","",B33),"")</f>
      </c>
      <c r="C75" s="9">
        <f>IFERROR(IF(C33="","",C33),"")</f>
      </c>
      <c r="D75" s="9">
        <f>IFERROR(IF(D33="","",D33),"")</f>
      </c>
      <c r="E75" s="15">
        <f>IFERROR(IF(OR(C33="", F33="", H33="", F33=0, H33=0), "", E33/(F33*H33)), "")</f>
      </c>
      <c r="F75" s="15">
        <f>IFERROR(IF(OR(C33="", G33="", I33="", G33=0, I33=0), "", E33/(G33*I33)), "")</f>
      </c>
      <c r="G75" s="15">
        <f>IFERROR(IF(OR(C33="", E75="", F75=""), "", F75-E75), "")</f>
      </c>
      <c r="H75" s="10">
        <f>IFERROR(IF(OR(C33="", E75=""), "", E75*IFERROR(VLOOKUP(D33,'1_MASTER_RATES'!A$9:E$12,2,FALSE),0)), "")</f>
      </c>
      <c r="I75" s="10">
        <f>IFERROR(IF(OR(C33="", F75=""), "", F75*IFERROR(VLOOKUP(D33,'1_MASTER_RATES'!A$9:E$12,2,FALSE),0)), "")</f>
      </c>
      <c r="J75" s="10">
        <f>IFERROR(IF(OR(C33="", H75="", I75=""), "", I75-H75), "")</f>
      </c>
      <c r="K75" s="10">
        <f>IFERROR(IF(OR(C33="", E75=""), "", E75*IFERROR(VLOOKUP(D33,'1_MASTER_RATES'!A$9:E$12,3,FALSE),0)), "")</f>
      </c>
      <c r="L75" s="10">
        <f>IFERROR(IF(OR(C33="", F75=""), "", F75*IFERROR(VLOOKUP(D33,'1_MASTER_RATES'!A$9:E$12,3,FALSE),0)), "")</f>
      </c>
      <c r="M75" s="10">
        <f>IFERROR(IF(OR(C33="", K75="", L75=""), "", L75-K75), "")</f>
      </c>
      <c r="N75" s="10">
        <f>IFERROR(IF(C33="","", H75+K75), "")</f>
      </c>
      <c r="O75" s="10">
        <f>IFERROR(IF(C33="","", I75+L75), "")</f>
      </c>
      <c r="P75" s="10">
        <f>IFERROR(IF(C33="","", O75-N75), "")</f>
      </c>
    </row>
    <row r="76" spans="1:16" x14ac:dyDescent="0.25">
      <c r="A76" s="9">
        <f>IFERROR(IF(A34="","",A34),"")</f>
      </c>
      <c r="B76" s="9">
        <f>IFERROR(IF(B34="","",B34),"")</f>
      </c>
      <c r="C76" s="9">
        <f>IFERROR(IF(C34="","",C34),"")</f>
      </c>
      <c r="D76" s="9">
        <f>IFERROR(IF(D34="","",D34),"")</f>
      </c>
      <c r="E76" s="15">
        <f>IFERROR(IF(OR(C34="", F34="", H34="", F34=0, H34=0), "", E34/(F34*H34)), "")</f>
      </c>
      <c r="F76" s="15">
        <f>IFERROR(IF(OR(C34="", G34="", I34="", G34=0, I34=0), "", E34/(G34*I34)), "")</f>
      </c>
      <c r="G76" s="15">
        <f>IFERROR(IF(OR(C34="", E76="", F76=""), "", F76-E76), "")</f>
      </c>
      <c r="H76" s="10">
        <f>IFERROR(IF(OR(C34="", E76=""), "", E76*IFERROR(VLOOKUP(D34,'1_MASTER_RATES'!A$9:E$12,2,FALSE),0)), "")</f>
      </c>
      <c r="I76" s="10">
        <f>IFERROR(IF(OR(C34="", F76=""), "", F76*IFERROR(VLOOKUP(D34,'1_MASTER_RATES'!A$9:E$12,2,FALSE),0)), "")</f>
      </c>
      <c r="J76" s="10">
        <f>IFERROR(IF(OR(C34="", H76="", I76=""), "", I76-H76), "")</f>
      </c>
      <c r="K76" s="10">
        <f>IFERROR(IF(OR(C34="", E76=""), "", E76*IFERROR(VLOOKUP(D34,'1_MASTER_RATES'!A$9:E$12,3,FALSE),0)), "")</f>
      </c>
      <c r="L76" s="10">
        <f>IFERROR(IF(OR(C34="", F76=""), "", F76*IFERROR(VLOOKUP(D34,'1_MASTER_RATES'!A$9:E$12,3,FALSE),0)), "")</f>
      </c>
      <c r="M76" s="10">
        <f>IFERROR(IF(OR(C34="", K76="", L76=""), "", L76-K76), "")</f>
      </c>
      <c r="N76" s="10">
        <f>IFERROR(IF(C34="","", H76+K76), "")</f>
      </c>
      <c r="O76" s="10">
        <f>IFERROR(IF(C34="","", I76+L76), "")</f>
      </c>
      <c r="P76" s="10">
        <f>IFERROR(IF(C34="","", O76-N76), "")</f>
      </c>
    </row>
    <row r="77" spans="1:16" x14ac:dyDescent="0.25">
      <c r="A77" s="9">
        <f>IFERROR(IF(A35="","",A35),"")</f>
      </c>
      <c r="B77" s="9">
        <f>IFERROR(IF(B35="","",B35),"")</f>
      </c>
      <c r="C77" s="9">
        <f>IFERROR(IF(C35="","",C35),"")</f>
      </c>
      <c r="D77" s="9">
        <f>IFERROR(IF(D35="","",D35),"")</f>
      </c>
      <c r="E77" s="15">
        <f>IFERROR(IF(OR(C35="", F35="", H35="", F35=0, H35=0), "", E35/(F35*H35)), "")</f>
      </c>
      <c r="F77" s="15">
        <f>IFERROR(IF(OR(C35="", G35="", I35="", G35=0, I35=0), "", E35/(G35*I35)), "")</f>
      </c>
      <c r="G77" s="15">
        <f>IFERROR(IF(OR(C35="", E77="", F77=""), "", F77-E77), "")</f>
      </c>
      <c r="H77" s="10">
        <f>IFERROR(IF(OR(C35="", E77=""), "", E77*IFERROR(VLOOKUP(D35,'1_MASTER_RATES'!A$9:E$12,2,FALSE),0)), "")</f>
      </c>
      <c r="I77" s="10">
        <f>IFERROR(IF(OR(C35="", F77=""), "", F77*IFERROR(VLOOKUP(D35,'1_MASTER_RATES'!A$9:E$12,2,FALSE),0)), "")</f>
      </c>
      <c r="J77" s="10">
        <f>IFERROR(IF(OR(C35="", H77="", I77=""), "", I77-H77), "")</f>
      </c>
      <c r="K77" s="10">
        <f>IFERROR(IF(OR(C35="", E77=""), "", E77*IFERROR(VLOOKUP(D35,'1_MASTER_RATES'!A$9:E$12,3,FALSE),0)), "")</f>
      </c>
      <c r="L77" s="10">
        <f>IFERROR(IF(OR(C35="", F77=""), "", F77*IFERROR(VLOOKUP(D35,'1_MASTER_RATES'!A$9:E$12,3,FALSE),0)), "")</f>
      </c>
      <c r="M77" s="10">
        <f>IFERROR(IF(OR(C35="", K77="", L77=""), "", L77-K77), "")</f>
      </c>
      <c r="N77" s="10">
        <f>IFERROR(IF(C35="","", H77+K77), "")</f>
      </c>
      <c r="O77" s="10">
        <f>IFERROR(IF(C35="","", I77+L77), "")</f>
      </c>
      <c r="P77" s="10">
        <f>IFERROR(IF(C35="","", O77-N77), "")</f>
      </c>
    </row>
    <row r="78" spans="1:16" x14ac:dyDescent="0.25">
      <c r="A78" s="9">
        <f>IFERROR(IF(A36="","",A36),"")</f>
      </c>
      <c r="B78" s="9">
        <f>IFERROR(IF(B36="","",B36),"")</f>
      </c>
      <c r="C78" s="9">
        <f>IFERROR(IF(C36="","",C36),"")</f>
      </c>
      <c r="D78" s="9">
        <f>IFERROR(IF(D36="","",D36),"")</f>
      </c>
      <c r="E78" s="15">
        <f>IFERROR(IF(OR(C36="", F36="", H36="", F36=0, H36=0), "", E36/(F36*H36)), "")</f>
      </c>
      <c r="F78" s="15">
        <f>IFERROR(IF(OR(C36="", G36="", I36="", G36=0, I36=0), "", E36/(G36*I36)), "")</f>
      </c>
      <c r="G78" s="15">
        <f>IFERROR(IF(OR(C36="", E78="", F78=""), "", F78-E78), "")</f>
      </c>
      <c r="H78" s="10">
        <f>IFERROR(IF(OR(C36="", E78=""), "", E78*IFERROR(VLOOKUP(D36,'1_MASTER_RATES'!A$9:E$12,2,FALSE),0)), "")</f>
      </c>
      <c r="I78" s="10">
        <f>IFERROR(IF(OR(C36="", F78=""), "", F78*IFERROR(VLOOKUP(D36,'1_MASTER_RATES'!A$9:E$12,2,FALSE),0)), "")</f>
      </c>
      <c r="J78" s="10">
        <f>IFERROR(IF(OR(C36="", H78="", I78=""), "", I78-H78), "")</f>
      </c>
      <c r="K78" s="10">
        <f>IFERROR(IF(OR(C36="", E78=""), "", E78*IFERROR(VLOOKUP(D36,'1_MASTER_RATES'!A$9:E$12,3,FALSE),0)), "")</f>
      </c>
      <c r="L78" s="10">
        <f>IFERROR(IF(OR(C36="", F78=""), "", F78*IFERROR(VLOOKUP(D36,'1_MASTER_RATES'!A$9:E$12,3,FALSE),0)), "")</f>
      </c>
      <c r="M78" s="10">
        <f>IFERROR(IF(OR(C36="", K78="", L78=""), "", L78-K78), "")</f>
      </c>
      <c r="N78" s="10">
        <f>IFERROR(IF(C36="","", H78+K78), "")</f>
      </c>
      <c r="O78" s="10">
        <f>IFERROR(IF(C36="","", I78+L78), "")</f>
      </c>
      <c r="P78" s="10">
        <f>IFERROR(IF(C36="","", O78-N78), "")</f>
      </c>
    </row>
    <row r="79" spans="1:16" x14ac:dyDescent="0.25">
      <c r="A79" s="9">
        <f>IFERROR(IF(A37="","",A37),"")</f>
      </c>
      <c r="B79" s="9">
        <f>IFERROR(IF(B37="","",B37),"")</f>
      </c>
      <c r="C79" s="9">
        <f>IFERROR(IF(C37="","",C37),"")</f>
      </c>
      <c r="D79" s="9">
        <f>IFERROR(IF(D37="","",D37),"")</f>
      </c>
      <c r="E79" s="15">
        <f>IFERROR(IF(OR(C37="", F37="", H37="", F37=0, H37=0), "", E37/(F37*H37)), "")</f>
      </c>
      <c r="F79" s="15">
        <f>IFERROR(IF(OR(C37="", G37="", I37="", G37=0, I37=0), "", E37/(G37*I37)), "")</f>
      </c>
      <c r="G79" s="15">
        <f>IFERROR(IF(OR(C37="", E79="", F79=""), "", F79-E79), "")</f>
      </c>
      <c r="H79" s="10">
        <f>IFERROR(IF(OR(C37="", E79=""), "", E79*IFERROR(VLOOKUP(D37,'1_MASTER_RATES'!A$9:E$12,2,FALSE),0)), "")</f>
      </c>
      <c r="I79" s="10">
        <f>IFERROR(IF(OR(C37="", F79=""), "", F79*IFERROR(VLOOKUP(D37,'1_MASTER_RATES'!A$9:E$12,2,FALSE),0)), "")</f>
      </c>
      <c r="J79" s="10">
        <f>IFERROR(IF(OR(C37="", H79="", I79=""), "", I79-H79), "")</f>
      </c>
      <c r="K79" s="10">
        <f>IFERROR(IF(OR(C37="", E79=""), "", E79*IFERROR(VLOOKUP(D37,'1_MASTER_RATES'!A$9:E$12,3,FALSE),0)), "")</f>
      </c>
      <c r="L79" s="10">
        <f>IFERROR(IF(OR(C37="", F79=""), "", F79*IFERROR(VLOOKUP(D37,'1_MASTER_RATES'!A$9:E$12,3,FALSE),0)), "")</f>
      </c>
      <c r="M79" s="10">
        <f>IFERROR(IF(OR(C37="", K79="", L79=""), "", L79-K79), "")</f>
      </c>
      <c r="N79" s="10">
        <f>IFERROR(IF(C37="","", H79+K79), "")</f>
      </c>
      <c r="O79" s="10">
        <f>IFERROR(IF(C37="","", I79+L79), "")</f>
      </c>
      <c r="P79" s="10">
        <f>IFERROR(IF(C37="","", O79-N79), "")</f>
      </c>
    </row>
    <row r="80" spans="1:16" x14ac:dyDescent="0.25">
      <c r="A80" s="9">
        <f>IFERROR(IF(A38="","",A38),"")</f>
      </c>
      <c r="B80" s="9">
        <f>IFERROR(IF(B38="","",B38),"")</f>
      </c>
      <c r="C80" s="9">
        <f>IFERROR(IF(C38="","",C38),"")</f>
      </c>
      <c r="D80" s="9">
        <f>IFERROR(IF(D38="","",D38),"")</f>
      </c>
      <c r="E80" s="15">
        <f>IFERROR(IF(OR(C38="", F38="", H38="", F38=0, H38=0), "", E38/(F38*H38)), "")</f>
      </c>
      <c r="F80" s="15">
        <f>IFERROR(IF(OR(C38="", G38="", I38="", G38=0, I38=0), "", E38/(G38*I38)), "")</f>
      </c>
      <c r="G80" s="15">
        <f>IFERROR(IF(OR(C38="", E80="", F80=""), "", F80-E80), "")</f>
      </c>
      <c r="H80" s="10">
        <f>IFERROR(IF(OR(C38="", E80=""), "", E80*IFERROR(VLOOKUP(D38,'1_MASTER_RATES'!A$9:E$12,2,FALSE),0)), "")</f>
      </c>
      <c r="I80" s="10">
        <f>IFERROR(IF(OR(C38="", F80=""), "", F80*IFERROR(VLOOKUP(D38,'1_MASTER_RATES'!A$9:E$12,2,FALSE),0)), "")</f>
      </c>
      <c r="J80" s="10">
        <f>IFERROR(IF(OR(C38="", H80="", I80=""), "", I80-H80), "")</f>
      </c>
      <c r="K80" s="10">
        <f>IFERROR(IF(OR(C38="", E80=""), "", E80*IFERROR(VLOOKUP(D38,'1_MASTER_RATES'!A$9:E$12,3,FALSE),0)), "")</f>
      </c>
      <c r="L80" s="10">
        <f>IFERROR(IF(OR(C38="", F80=""), "", F80*IFERROR(VLOOKUP(D38,'1_MASTER_RATES'!A$9:E$12,3,FALSE),0)), "")</f>
      </c>
      <c r="M80" s="10">
        <f>IFERROR(IF(OR(C38="", K80="", L80=""), "", L80-K80), "")</f>
      </c>
      <c r="N80" s="10">
        <f>IFERROR(IF(C38="","", H80+K80), "")</f>
      </c>
      <c r="O80" s="10">
        <f>IFERROR(IF(C38="","", I80+L80), "")</f>
      </c>
      <c r="P80" s="10">
        <f>IFERROR(IF(C38="","", O80-N80), "")</f>
      </c>
    </row>
    <row r="81" spans="1:16" x14ac:dyDescent="0.25">
      <c r="A81" s="9">
        <f>IFERROR(IF(A39="","",A39),"")</f>
      </c>
      <c r="B81" s="9">
        <f>IFERROR(IF(B39="","",B39),"")</f>
      </c>
      <c r="C81" s="9">
        <f>IFERROR(IF(C39="","",C39),"")</f>
      </c>
      <c r="D81" s="9">
        <f>IFERROR(IF(D39="","",D39),"")</f>
      </c>
      <c r="E81" s="15">
        <f>IFERROR(IF(OR(C39="", F39="", H39="", F39=0, H39=0), "", E39/(F39*H39)), "")</f>
      </c>
      <c r="F81" s="15">
        <f>IFERROR(IF(OR(C39="", G39="", I39="", G39=0, I39=0), "", E39/(G39*I39)), "")</f>
      </c>
      <c r="G81" s="15">
        <f>IFERROR(IF(OR(C39="", E81="", F81=""), "", F81-E81), "")</f>
      </c>
      <c r="H81" s="10">
        <f>IFERROR(IF(OR(C39="", E81=""), "", E81*IFERROR(VLOOKUP(D39,'1_MASTER_RATES'!A$9:E$12,2,FALSE),0)), "")</f>
      </c>
      <c r="I81" s="10">
        <f>IFERROR(IF(OR(C39="", F81=""), "", F81*IFERROR(VLOOKUP(D39,'1_MASTER_RATES'!A$9:E$12,2,FALSE),0)), "")</f>
      </c>
      <c r="J81" s="10">
        <f>IFERROR(IF(OR(C39="", H81="", I81=""), "", I81-H81), "")</f>
      </c>
      <c r="K81" s="10">
        <f>IFERROR(IF(OR(C39="", E81=""), "", E81*IFERROR(VLOOKUP(D39,'1_MASTER_RATES'!A$9:E$12,3,FALSE),0)), "")</f>
      </c>
      <c r="L81" s="10">
        <f>IFERROR(IF(OR(C39="", F81=""), "", F81*IFERROR(VLOOKUP(D39,'1_MASTER_RATES'!A$9:E$12,3,FALSE),0)), "")</f>
      </c>
      <c r="M81" s="10">
        <f>IFERROR(IF(OR(C39="", K81="", L81=""), "", L81-K81), "")</f>
      </c>
      <c r="N81" s="10">
        <f>IFERROR(IF(C39="","", H81+K81), "")</f>
      </c>
      <c r="O81" s="10">
        <f>IFERROR(IF(C39="","", I81+L81), "")</f>
      </c>
      <c r="P81" s="10">
        <f>IFERROR(IF(C39="","", O81-N81), "")</f>
      </c>
    </row>
    <row r="82" spans="1:16" x14ac:dyDescent="0.25">
      <c r="A82" s="9">
        <f>IFERROR(IF(A40="","",A40),"")</f>
      </c>
      <c r="B82" s="9">
        <f>IFERROR(IF(B40="","",B40),"")</f>
      </c>
      <c r="C82" s="9">
        <f>IFERROR(IF(C40="","",C40),"")</f>
      </c>
      <c r="D82" s="9">
        <f>IFERROR(IF(D40="","",D40),"")</f>
      </c>
      <c r="E82" s="15">
        <f>IFERROR(IF(OR(C40="", F40="", H40="", F40=0, H40=0), "", E40/(F40*H40)), "")</f>
      </c>
      <c r="F82" s="15">
        <f>IFERROR(IF(OR(C40="", G40="", I40="", G40=0, I40=0), "", E40/(G40*I40)), "")</f>
      </c>
      <c r="G82" s="15">
        <f>IFERROR(IF(OR(C40="", E82="", F82=""), "", F82-E82), "")</f>
      </c>
      <c r="H82" s="10">
        <f>IFERROR(IF(OR(C40="", E82=""), "", E82*IFERROR(VLOOKUP(D40,'1_MASTER_RATES'!A$9:E$12,2,FALSE),0)), "")</f>
      </c>
      <c r="I82" s="10">
        <f>IFERROR(IF(OR(C40="", F82=""), "", F82*IFERROR(VLOOKUP(D40,'1_MASTER_RATES'!A$9:E$12,2,FALSE),0)), "")</f>
      </c>
      <c r="J82" s="10">
        <f>IFERROR(IF(OR(C40="", H82="", I82=""), "", I82-H82), "")</f>
      </c>
      <c r="K82" s="10">
        <f>IFERROR(IF(OR(C40="", E82=""), "", E82*IFERROR(VLOOKUP(D40,'1_MASTER_RATES'!A$9:E$12,3,FALSE),0)), "")</f>
      </c>
      <c r="L82" s="10">
        <f>IFERROR(IF(OR(C40="", F82=""), "", F82*IFERROR(VLOOKUP(D40,'1_MASTER_RATES'!A$9:E$12,3,FALSE),0)), "")</f>
      </c>
      <c r="M82" s="10">
        <f>IFERROR(IF(OR(C40="", K82="", L82=""), "", L82-K82), "")</f>
      </c>
      <c r="N82" s="10">
        <f>IFERROR(IF(C40="","", H82+K82), "")</f>
      </c>
      <c r="O82" s="10">
        <f>IFERROR(IF(C40="","", I82+L82), "")</f>
      </c>
      <c r="P82" s="10">
        <f>IFERROR(IF(C40="","", O82-N82), "")</f>
      </c>
    </row>
    <row r="83" spans="1:16" x14ac:dyDescent="0.25">
      <c r="A83" s="9">
        <f>IFERROR(IF(A41="","",A41),"")</f>
      </c>
      <c r="B83" s="9">
        <f>IFERROR(IF(B41="","",B41),"")</f>
      </c>
      <c r="C83" s="9">
        <f>IFERROR(IF(C41="","",C41),"")</f>
      </c>
      <c r="D83" s="9">
        <f>IFERROR(IF(D41="","",D41),"")</f>
      </c>
      <c r="E83" s="15">
        <f>IFERROR(IF(OR(C41="", F41="", H41="", F41=0, H41=0), "", E41/(F41*H41)), "")</f>
      </c>
      <c r="F83" s="15">
        <f>IFERROR(IF(OR(C41="", G41="", I41="", G41=0, I41=0), "", E41/(G41*I41)), "")</f>
      </c>
      <c r="G83" s="15">
        <f>IFERROR(IF(OR(C41="", E83="", F83=""), "", F83-E83), "")</f>
      </c>
      <c r="H83" s="10">
        <f>IFERROR(IF(OR(C41="", E83=""), "", E83*IFERROR(VLOOKUP(D41,'1_MASTER_RATES'!A$9:E$12,2,FALSE),0)), "")</f>
      </c>
      <c r="I83" s="10">
        <f>IFERROR(IF(OR(C41="", F83=""), "", F83*IFERROR(VLOOKUP(D41,'1_MASTER_RATES'!A$9:E$12,2,FALSE),0)), "")</f>
      </c>
      <c r="J83" s="10">
        <f>IFERROR(IF(OR(C41="", H83="", I83=""), "", I83-H83), "")</f>
      </c>
      <c r="K83" s="10">
        <f>IFERROR(IF(OR(C41="", E83=""), "", E83*IFERROR(VLOOKUP(D41,'1_MASTER_RATES'!A$9:E$12,3,FALSE),0)), "")</f>
      </c>
      <c r="L83" s="10">
        <f>IFERROR(IF(OR(C41="", F83=""), "", F83*IFERROR(VLOOKUP(D41,'1_MASTER_RATES'!A$9:E$12,3,FALSE),0)), "")</f>
      </c>
      <c r="M83" s="10">
        <f>IFERROR(IF(OR(C41="", K83="", L83=""), "", L83-K83), "")</f>
      </c>
      <c r="N83" s="10">
        <f>IFERROR(IF(C41="","", H83+K83), "")</f>
      </c>
      <c r="O83" s="10">
        <f>IFERROR(IF(C41="","", I83+L83), "")</f>
      </c>
      <c r="P83" s="10">
        <f>IFERROR(IF(C41="","", O83-N83), "")</f>
      </c>
    </row>
    <row r="84" spans="1:16" x14ac:dyDescent="0.25">
      <c r="A84" s="9">
        <f>IFERROR(IF(A42="","",A42),"")</f>
      </c>
      <c r="B84" s="9">
        <f>IFERROR(IF(B42="","",B42),"")</f>
      </c>
      <c r="C84" s="9">
        <f>IFERROR(IF(C42="","",C42),"")</f>
      </c>
      <c r="D84" s="9">
        <f>IFERROR(IF(D42="","",D42),"")</f>
      </c>
      <c r="E84" s="15">
        <f>IFERROR(IF(OR(C42="", F42="", H42="", F42=0, H42=0), "", E42/(F42*H42)), "")</f>
      </c>
      <c r="F84" s="15">
        <f>IFERROR(IF(OR(C42="", G42="", I42="", G42=0, I42=0), "", E42/(G42*I42)), "")</f>
      </c>
      <c r="G84" s="15">
        <f>IFERROR(IF(OR(C42="", E84="", F84=""), "", F84-E84), "")</f>
      </c>
      <c r="H84" s="10">
        <f>IFERROR(IF(OR(C42="", E84=""), "", E84*IFERROR(VLOOKUP(D42,'1_MASTER_RATES'!A$9:E$12,2,FALSE),0)), "")</f>
      </c>
      <c r="I84" s="10">
        <f>IFERROR(IF(OR(C42="", F84=""), "", F84*IFERROR(VLOOKUP(D42,'1_MASTER_RATES'!A$9:E$12,2,FALSE),0)), "")</f>
      </c>
      <c r="J84" s="10">
        <f>IFERROR(IF(OR(C42="", H84="", I84=""), "", I84-H84), "")</f>
      </c>
      <c r="K84" s="10">
        <f>IFERROR(IF(OR(C42="", E84=""), "", E84*IFERROR(VLOOKUP(D42,'1_MASTER_RATES'!A$9:E$12,3,FALSE),0)), "")</f>
      </c>
      <c r="L84" s="10">
        <f>IFERROR(IF(OR(C42="", F84=""), "", F84*IFERROR(VLOOKUP(D42,'1_MASTER_RATES'!A$9:E$12,3,FALSE),0)), "")</f>
      </c>
      <c r="M84" s="10">
        <f>IFERROR(IF(OR(C42="", K84="", L84=""), "", L84-K84), "")</f>
      </c>
      <c r="N84" s="10">
        <f>IFERROR(IF(C42="","", H84+K84), "")</f>
      </c>
      <c r="O84" s="10">
        <f>IFERROR(IF(C42="","", I84+L84), "")</f>
      </c>
      <c r="P84" s="10">
        <f>IFERROR(IF(C42="","", O84-N84), "")</f>
      </c>
    </row>
    <row r="85" spans="1:16" x14ac:dyDescent="0.25">
      <c r="A85" s="9">
        <f>IFERROR(IF(A43="","",A43),"")</f>
      </c>
      <c r="B85" s="9">
        <f>IFERROR(IF(B43="","",B43),"")</f>
      </c>
      <c r="C85" s="9">
        <f>IFERROR(IF(C43="","",C43),"")</f>
      </c>
      <c r="D85" s="9">
        <f>IFERROR(IF(D43="","",D43),"")</f>
      </c>
      <c r="E85" s="15">
        <f>IFERROR(IF(OR(C43="", F43="", H43="", F43=0, H43=0), "", E43/(F43*H43)), "")</f>
      </c>
      <c r="F85" s="15">
        <f>IFERROR(IF(OR(C43="", G43="", I43="", G43=0, I43=0), "", E43/(G43*I43)), "")</f>
      </c>
      <c r="G85" s="15">
        <f>IFERROR(IF(OR(C43="", E85="", F85=""), "", F85-E85), "")</f>
      </c>
      <c r="H85" s="10">
        <f>IFERROR(IF(OR(C43="", E85=""), "", E85*IFERROR(VLOOKUP(D43,'1_MASTER_RATES'!A$9:E$12,2,FALSE),0)), "")</f>
      </c>
      <c r="I85" s="10">
        <f>IFERROR(IF(OR(C43="", F85=""), "", F85*IFERROR(VLOOKUP(D43,'1_MASTER_RATES'!A$9:E$12,2,FALSE),0)), "")</f>
      </c>
      <c r="J85" s="10">
        <f>IFERROR(IF(OR(C43="", H85="", I85=""), "", I85-H85), "")</f>
      </c>
      <c r="K85" s="10">
        <f>IFERROR(IF(OR(C43="", E85=""), "", E85*IFERROR(VLOOKUP(D43,'1_MASTER_RATES'!A$9:E$12,3,FALSE),0)), "")</f>
      </c>
      <c r="L85" s="10">
        <f>IFERROR(IF(OR(C43="", F85=""), "", F85*IFERROR(VLOOKUP(D43,'1_MASTER_RATES'!A$9:E$12,3,FALSE),0)), "")</f>
      </c>
      <c r="M85" s="10">
        <f>IFERROR(IF(OR(C43="", K85="", L85=""), "", L85-K85), "")</f>
      </c>
      <c r="N85" s="10">
        <f>IFERROR(IF(C43="","", H85+K85), "")</f>
      </c>
      <c r="O85" s="10">
        <f>IFERROR(IF(C43="","", I85+L85), "")</f>
      </c>
      <c r="P85" s="10">
        <f>IFERROR(IF(C43="","", O85-N85), "")</f>
      </c>
    </row>
    <row r="86" spans="1:16" x14ac:dyDescent="0.25">
      <c r="A86" s="11" t="s">
        <v>28</v>
      </c>
      <c r="B86" s="11" t="s">
        <v>29</v>
      </c>
      <c r="C86" s="11" t="s">
        <v>29</v>
      </c>
      <c r="D86" s="11" t="s">
        <v>29</v>
      </c>
      <c r="E86" s="11" t="s">
        <v>29</v>
      </c>
      <c r="F86" s="11" t="s">
        <v>29</v>
      </c>
      <c r="G86" s="11" t="s">
        <v>29</v>
      </c>
      <c r="H86" s="12">
        <f>IFERROR(IF(SUM(H47:H85)=0, "", SUM(H47:H85)), "")</f>
      </c>
      <c r="I86" s="12">
        <f>IFERROR(IF(SUM(I47:I85)=0, "", SUM(I47:I85)), "")</f>
      </c>
      <c r="J86" s="12">
        <f>IFERROR(IF(SUM(J47:J85)=0, "", SUM(J47:J85)), "")</f>
      </c>
      <c r="K86" s="12">
        <f>IFERROR(IF(SUM(K47:K85)=0, "", SUM(K47:K85)), "")</f>
      </c>
      <c r="L86" s="12">
        <f>IFERROR(IF(SUM(L47:L85)=0, "", SUM(L47:L85)), "")</f>
      </c>
      <c r="M86" s="12">
        <f>IFERROR(IF(SUM(M47:M85)=0, "", SUM(M47:M85)), "")</f>
      </c>
      <c r="N86" s="12">
        <f>IFERROR(IF(SUM(N47:N85)=0, "", SUM(N47:N85)), "")</f>
      </c>
      <c r="O86" s="12">
        <f>IFERROR(IF(SUM(O47:O85)=0, "", SUM(O47:O85)), "")</f>
      </c>
      <c r="P86" s="12">
        <f>IFERROR(IF(SUM(P47:P85)=0, "", SUM(P47:P85)), "")</f>
      </c>
    </row>
  </sheetData>
  <mergeCells count="3">
    <mergeCell ref="A1:J1"/>
    <mergeCell ref="A3:J3"/>
    <mergeCell ref="A45:P45"/>
  </mergeCells>
  <dataValidations count="1">
    <dataValidation type="list" allowBlank="1" sqref="D5:D43">
      <formula1>'1_MASTER_RATES'!$A$9:$A$12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/>
  </sheetViews>
  <sheetFormatPr defaultRowHeight="15" outlineLevelRow="0" outlineLevelCol="0" x14ac:dyDescent="55"/>
  <cols>
    <col min="1" max="1" width="10" customWidth="1"/>
    <col min="2" max="2" width="28" customWidth="1"/>
    <col min="3" max="3" width="56" customWidth="1"/>
    <col min="4" max="4" width="52" customWidth="1"/>
    <col min="5" max="6" width="20" customWidth="1"/>
    <col min="7" max="7" width="26" customWidth="1"/>
    <col min="8" max="8" width="24" customWidth="1"/>
  </cols>
  <sheetData>
    <row r="1" spans="1:8" x14ac:dyDescent="0.25">
      <c r="A1" s="1" t="s">
        <v>53</v>
      </c>
      <c r="B1" s="1"/>
      <c r="C1" s="1"/>
      <c r="D1" s="1"/>
      <c r="E1" s="1"/>
      <c r="F1" s="1"/>
      <c r="G1" s="1"/>
      <c r="H1" s="1"/>
    </row>
    <row r="3" spans="1:8" x14ac:dyDescent="0.25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</row>
    <row r="4" spans="1:8" x14ac:dyDescent="0.25">
      <c r="A4" s="9">
        <v>1</v>
      </c>
      <c r="B4" s="9">
        <f>IFERROR(IF('2_BOM_BREAKDOWN'!C5="","","Direct Material"),"")</f>
      </c>
      <c r="C4" s="9">
        <f>IFERROR(IF('2_BOM_BREAKDOWN'!C5="","",'2_BOM_BREAKDOWN'!C5),"")</f>
      </c>
      <c r="D4" s="9">
        <f>IFERROR(IF(OR('2_BOM_BREAKDOWN'!C5="",""),"",IF('2_BOM_BREAKDOWN'!G5&gt;'2_BOM_BREAKDOWN'!F5,"Unit Price Inflation ("&amp;TEXT('2_BOM_BREAKDOWN'!F5,"#,##0.00")&amp;" ➔ "&amp;TEXT('2_BOM_BREAKDOWN'!G5,"#,##0.00")&amp;" THB)",IF('2_BOM_BREAKDOWN'!G5&lt;'2_BOM_BREAKDOWN'!F5,"Unit Price Reduction ("&amp;TEXT('2_BOM_BREAKDOWN'!F5,"#,##0.00")&amp;" ➔ "&amp;TEXT('2_BOM_BREAKDOWN'!G5,"#,##0.00")&amp;" THB)",IF('2_BOM_BREAKDOWN'!I5&gt;'2_BOM_BREAKDOWN'!H5,"Loss % Increase ("&amp;TEXT('2_BOM_BREAKDOWN'!H5,"0.0%")&amp;" ➔ "&amp;TEXT('2_BOM_BREAKDOWN'!I5,"0.0%")&amp;")",IF('2_BOM_BREAKDOWN'!I5&lt;'2_BOM_BREAKDOWN'!H5,"Loss % Reduction ("&amp;TEXT('2_BOM_BREAKDOWN'!H5,"0.0%")&amp;" ➔ "&amp;TEXT('2_BOM_BREAKDOWN'!I5,"0.0%")&amp;")",""))))),"")</f>
      </c>
      <c r="E4" s="16">
        <f>IFERROR(IF(OR('2_BOM_BREAKDOWN'!C5="",""),"",IF('2_BOM_BREAKDOWN'!G5&lt;&gt;'2_BOM_BREAKDOWN'!F5,'2_BOM_BREAKDOWN'!F5,IF('2_BOM_BREAKDOWN'!I5&lt;&gt;'2_BOM_BREAKDOWN'!H5,'2_BOM_BREAKDOWN'!H5,""))),"")</f>
      </c>
      <c r="F4" s="16">
        <f>IFERROR(IF(OR('2_BOM_BREAKDOWN'!C5="",""),"",IF('2_BOM_BREAKDOWN'!G5&lt;&gt;'2_BOM_BREAKDOWN'!F5,'2_BOM_BREAKDOWN'!G5,IF('2_BOM_BREAKDOWN'!I5&lt;&gt;'2_BOM_BREAKDOWN'!H5,'2_BOM_BREAKDOWN'!I5,""))),"")</f>
      </c>
      <c r="G4" s="17">
        <f>IFERROR(IF(OR('2_BOM_BREAKDOWN'!C5="",'2_BOM_BREAKDOWN'!H24=""),"",'2_BOM_BREAKDOWN'!H24),"")</f>
      </c>
      <c r="H4" s="18">
        <f>IFERROR(IF(OR(G4="",G4&lt;=0), "", G4+(55-A4)*0.00000001), "")</f>
      </c>
    </row>
    <row r="5" spans="1:8" x14ac:dyDescent="0.25">
      <c r="A5" s="9">
        <v>2</v>
      </c>
      <c r="B5" s="9">
        <f>IFERROR(IF('2_BOM_BREAKDOWN'!C6="","","Direct Material"),"")</f>
      </c>
      <c r="C5" s="9">
        <f>IFERROR(IF('2_BOM_BREAKDOWN'!C6="","",'2_BOM_BREAKDOWN'!C6),"")</f>
      </c>
      <c r="D5" s="9">
        <f>IFERROR(IF(OR('2_BOM_BREAKDOWN'!C6="",""),"",IF('2_BOM_BREAKDOWN'!G6&gt;'2_BOM_BREAKDOWN'!F6,"Unit Price Inflation ("&amp;TEXT('2_BOM_BREAKDOWN'!F6,"#,##0.00")&amp;" ➔ "&amp;TEXT('2_BOM_BREAKDOWN'!G6,"#,##0.00")&amp;" THB)",IF('2_BOM_BREAKDOWN'!G6&lt;'2_BOM_BREAKDOWN'!F6,"Unit Price Reduction ("&amp;TEXT('2_BOM_BREAKDOWN'!F6,"#,##0.00")&amp;" ➔ "&amp;TEXT('2_BOM_BREAKDOWN'!G6,"#,##0.00")&amp;" THB)",IF('2_BOM_BREAKDOWN'!I6&gt;'2_BOM_BREAKDOWN'!H6,"Loss % Increase ("&amp;TEXT('2_BOM_BREAKDOWN'!H6,"0.0%")&amp;" ➔ "&amp;TEXT('2_BOM_BREAKDOWN'!I6,"0.0%")&amp;")",IF('2_BOM_BREAKDOWN'!I6&lt;'2_BOM_BREAKDOWN'!H6,"Loss % Reduction ("&amp;TEXT('2_BOM_BREAKDOWN'!H6,"0.0%")&amp;" ➔ "&amp;TEXT('2_BOM_BREAKDOWN'!I6,"0.0%")&amp;")",""))))),"")</f>
      </c>
      <c r="E5" s="16">
        <f>IFERROR(IF(OR('2_BOM_BREAKDOWN'!C6="",""),"",IF('2_BOM_BREAKDOWN'!G6&lt;&gt;'2_BOM_BREAKDOWN'!F6,'2_BOM_BREAKDOWN'!F6,IF('2_BOM_BREAKDOWN'!I6&lt;&gt;'2_BOM_BREAKDOWN'!H6,'2_BOM_BREAKDOWN'!H6,""))),"")</f>
      </c>
      <c r="F5" s="16">
        <f>IFERROR(IF(OR('2_BOM_BREAKDOWN'!C6="",""),"",IF('2_BOM_BREAKDOWN'!G6&lt;&gt;'2_BOM_BREAKDOWN'!F6,'2_BOM_BREAKDOWN'!G6,IF('2_BOM_BREAKDOWN'!I6&lt;&gt;'2_BOM_BREAKDOWN'!H6,'2_BOM_BREAKDOWN'!I6,""))),"")</f>
      </c>
      <c r="G5" s="17">
        <f>IFERROR(IF(OR('2_BOM_BREAKDOWN'!C6="",'2_BOM_BREAKDOWN'!H25=""),"",'2_BOM_BREAKDOWN'!H25),"")</f>
      </c>
      <c r="H5" s="18">
        <f>IFERROR(IF(OR(G5="",G5&lt;=0), "", G5+(55-A5)*0.00000001), "")</f>
      </c>
    </row>
    <row r="6" spans="1:8" x14ac:dyDescent="0.25">
      <c r="A6" s="9">
        <v>3</v>
      </c>
      <c r="B6" s="9">
        <f>IFERROR(IF('2_BOM_BREAKDOWN'!C7="","","Direct Material"),"")</f>
      </c>
      <c r="C6" s="9">
        <f>IFERROR(IF('2_BOM_BREAKDOWN'!C7="","",'2_BOM_BREAKDOWN'!C7),"")</f>
      </c>
      <c r="D6" s="9">
        <f>IFERROR(IF(OR('2_BOM_BREAKDOWN'!C7="",""),"",IF('2_BOM_BREAKDOWN'!G7&gt;'2_BOM_BREAKDOWN'!F7,"Unit Price Inflation ("&amp;TEXT('2_BOM_BREAKDOWN'!F7,"#,##0.00")&amp;" ➔ "&amp;TEXT('2_BOM_BREAKDOWN'!G7,"#,##0.00")&amp;" THB)",IF('2_BOM_BREAKDOWN'!G7&lt;'2_BOM_BREAKDOWN'!F7,"Unit Price Reduction ("&amp;TEXT('2_BOM_BREAKDOWN'!F7,"#,##0.00")&amp;" ➔ "&amp;TEXT('2_BOM_BREAKDOWN'!G7,"#,##0.00")&amp;" THB)",IF('2_BOM_BREAKDOWN'!I7&gt;'2_BOM_BREAKDOWN'!H7,"Loss % Increase ("&amp;TEXT('2_BOM_BREAKDOWN'!H7,"0.0%")&amp;" ➔ "&amp;TEXT('2_BOM_BREAKDOWN'!I7,"0.0%")&amp;")",IF('2_BOM_BREAKDOWN'!I7&lt;'2_BOM_BREAKDOWN'!H7,"Loss % Reduction ("&amp;TEXT('2_BOM_BREAKDOWN'!H7,"0.0%")&amp;" ➔ "&amp;TEXT('2_BOM_BREAKDOWN'!I7,"0.0%")&amp;")",""))))),"")</f>
      </c>
      <c r="E6" s="16">
        <f>IFERROR(IF(OR('2_BOM_BREAKDOWN'!C7="",""),"",IF('2_BOM_BREAKDOWN'!G7&lt;&gt;'2_BOM_BREAKDOWN'!F7,'2_BOM_BREAKDOWN'!F7,IF('2_BOM_BREAKDOWN'!I7&lt;&gt;'2_BOM_BREAKDOWN'!H7,'2_BOM_BREAKDOWN'!H7,""))),"")</f>
      </c>
      <c r="F6" s="16">
        <f>IFERROR(IF(OR('2_BOM_BREAKDOWN'!C7="",""),"",IF('2_BOM_BREAKDOWN'!G7&lt;&gt;'2_BOM_BREAKDOWN'!F7,'2_BOM_BREAKDOWN'!G7,IF('2_BOM_BREAKDOWN'!I7&lt;&gt;'2_BOM_BREAKDOWN'!H7,'2_BOM_BREAKDOWN'!I7,""))),"")</f>
      </c>
      <c r="G6" s="17">
        <f>IFERROR(IF(OR('2_BOM_BREAKDOWN'!C7="",'2_BOM_BREAKDOWN'!H26=""),"",'2_BOM_BREAKDOWN'!H26),"")</f>
      </c>
      <c r="H6" s="18">
        <f>IFERROR(IF(OR(G6="",G6&lt;=0), "", G6+(55-A6)*0.00000001), "")</f>
      </c>
    </row>
    <row r="7" spans="1:8" x14ac:dyDescent="0.25">
      <c r="A7" s="9">
        <v>4</v>
      </c>
      <c r="B7" s="9">
        <f>IFERROR(IF('2_BOM_BREAKDOWN'!C8="","","Direct Material"),"")</f>
      </c>
      <c r="C7" s="9">
        <f>IFERROR(IF('2_BOM_BREAKDOWN'!C8="","",'2_BOM_BREAKDOWN'!C8),"")</f>
      </c>
      <c r="D7" s="9">
        <f>IFERROR(IF(OR('2_BOM_BREAKDOWN'!C8="",""),"",IF('2_BOM_BREAKDOWN'!G8&gt;'2_BOM_BREAKDOWN'!F8,"Unit Price Inflation ("&amp;TEXT('2_BOM_BREAKDOWN'!F8,"#,##0.00")&amp;" ➔ "&amp;TEXT('2_BOM_BREAKDOWN'!G8,"#,##0.00")&amp;" THB)",IF('2_BOM_BREAKDOWN'!G8&lt;'2_BOM_BREAKDOWN'!F8,"Unit Price Reduction ("&amp;TEXT('2_BOM_BREAKDOWN'!F8,"#,##0.00")&amp;" ➔ "&amp;TEXT('2_BOM_BREAKDOWN'!G8,"#,##0.00")&amp;" THB)",IF('2_BOM_BREAKDOWN'!I8&gt;'2_BOM_BREAKDOWN'!H8,"Loss % Increase ("&amp;TEXT('2_BOM_BREAKDOWN'!H8,"0.0%")&amp;" ➔ "&amp;TEXT('2_BOM_BREAKDOWN'!I8,"0.0%")&amp;")",IF('2_BOM_BREAKDOWN'!I8&lt;'2_BOM_BREAKDOWN'!H8,"Loss % Reduction ("&amp;TEXT('2_BOM_BREAKDOWN'!H8,"0.0%")&amp;" ➔ "&amp;TEXT('2_BOM_BREAKDOWN'!I8,"0.0%")&amp;")",""))))),"")</f>
      </c>
      <c r="E7" s="16">
        <f>IFERROR(IF(OR('2_BOM_BREAKDOWN'!C8="",""),"",IF('2_BOM_BREAKDOWN'!G8&lt;&gt;'2_BOM_BREAKDOWN'!F8,'2_BOM_BREAKDOWN'!F8,IF('2_BOM_BREAKDOWN'!I8&lt;&gt;'2_BOM_BREAKDOWN'!H8,'2_BOM_BREAKDOWN'!H8,""))),"")</f>
      </c>
      <c r="F7" s="16">
        <f>IFERROR(IF(OR('2_BOM_BREAKDOWN'!C8="",""),"",IF('2_BOM_BREAKDOWN'!G8&lt;&gt;'2_BOM_BREAKDOWN'!F8,'2_BOM_BREAKDOWN'!G8,IF('2_BOM_BREAKDOWN'!I8&lt;&gt;'2_BOM_BREAKDOWN'!H8,'2_BOM_BREAKDOWN'!I8,""))),"")</f>
      </c>
      <c r="G7" s="17">
        <f>IFERROR(IF(OR('2_BOM_BREAKDOWN'!C8="",'2_BOM_BREAKDOWN'!H27=""),"",'2_BOM_BREAKDOWN'!H27),"")</f>
      </c>
      <c r="H7" s="18">
        <f>IFERROR(IF(OR(G7="",G7&lt;=0), "", G7+(55-A7)*0.00000001), "")</f>
      </c>
    </row>
    <row r="8" spans="1:8" x14ac:dyDescent="0.25">
      <c r="A8" s="9">
        <v>5</v>
      </c>
      <c r="B8" s="9">
        <f>IFERROR(IF('2_BOM_BREAKDOWN'!C9="","","Direct Material"),"")</f>
      </c>
      <c r="C8" s="9">
        <f>IFERROR(IF('2_BOM_BREAKDOWN'!C9="","",'2_BOM_BREAKDOWN'!C9),"")</f>
      </c>
      <c r="D8" s="9">
        <f>IFERROR(IF(OR('2_BOM_BREAKDOWN'!C9="",""),"",IF('2_BOM_BREAKDOWN'!G9&gt;'2_BOM_BREAKDOWN'!F9,"Unit Price Inflation ("&amp;TEXT('2_BOM_BREAKDOWN'!F9,"#,##0.00")&amp;" ➔ "&amp;TEXT('2_BOM_BREAKDOWN'!G9,"#,##0.00")&amp;" THB)",IF('2_BOM_BREAKDOWN'!G9&lt;'2_BOM_BREAKDOWN'!F9,"Unit Price Reduction ("&amp;TEXT('2_BOM_BREAKDOWN'!F9,"#,##0.00")&amp;" ➔ "&amp;TEXT('2_BOM_BREAKDOWN'!G9,"#,##0.00")&amp;" THB)",IF('2_BOM_BREAKDOWN'!I9&gt;'2_BOM_BREAKDOWN'!H9,"Loss % Increase ("&amp;TEXT('2_BOM_BREAKDOWN'!H9,"0.0%")&amp;" ➔ "&amp;TEXT('2_BOM_BREAKDOWN'!I9,"0.0%")&amp;")",IF('2_BOM_BREAKDOWN'!I9&lt;'2_BOM_BREAKDOWN'!H9,"Loss % Reduction ("&amp;TEXT('2_BOM_BREAKDOWN'!H9,"0.0%")&amp;" ➔ "&amp;TEXT('2_BOM_BREAKDOWN'!I9,"0.0%")&amp;")",""))))),"")</f>
      </c>
      <c r="E8" s="16">
        <f>IFERROR(IF(OR('2_BOM_BREAKDOWN'!C9="",""),"",IF('2_BOM_BREAKDOWN'!G9&lt;&gt;'2_BOM_BREAKDOWN'!F9,'2_BOM_BREAKDOWN'!F9,IF('2_BOM_BREAKDOWN'!I9&lt;&gt;'2_BOM_BREAKDOWN'!H9,'2_BOM_BREAKDOWN'!H9,""))),"")</f>
      </c>
      <c r="F8" s="16">
        <f>IFERROR(IF(OR('2_BOM_BREAKDOWN'!C9="",""),"",IF('2_BOM_BREAKDOWN'!G9&lt;&gt;'2_BOM_BREAKDOWN'!F9,'2_BOM_BREAKDOWN'!G9,IF('2_BOM_BREAKDOWN'!I9&lt;&gt;'2_BOM_BREAKDOWN'!H9,'2_BOM_BREAKDOWN'!I9,""))),"")</f>
      </c>
      <c r="G8" s="17">
        <f>IFERROR(IF(OR('2_BOM_BREAKDOWN'!C9="",'2_BOM_BREAKDOWN'!H28=""),"",'2_BOM_BREAKDOWN'!H28),"")</f>
      </c>
      <c r="H8" s="18">
        <f>IFERROR(IF(OR(G8="",G8&lt;=0), "", G8+(55-A8)*0.00000001), "")</f>
      </c>
    </row>
    <row r="9" spans="1:8" x14ac:dyDescent="0.25">
      <c r="A9" s="9">
        <v>6</v>
      </c>
      <c r="B9" s="9">
        <f>IFERROR(IF('2_BOM_BREAKDOWN'!C10="","","Direct Material"),"")</f>
      </c>
      <c r="C9" s="9">
        <f>IFERROR(IF('2_BOM_BREAKDOWN'!C10="","",'2_BOM_BREAKDOWN'!C10),"")</f>
      </c>
      <c r="D9" s="9">
        <f>IFERROR(IF(OR('2_BOM_BREAKDOWN'!C10="",""),"",IF('2_BOM_BREAKDOWN'!G10&gt;'2_BOM_BREAKDOWN'!F10,"Unit Price Inflation ("&amp;TEXT('2_BOM_BREAKDOWN'!F10,"#,##0.00")&amp;" ➔ "&amp;TEXT('2_BOM_BREAKDOWN'!G10,"#,##0.00")&amp;" THB)",IF('2_BOM_BREAKDOWN'!G10&lt;'2_BOM_BREAKDOWN'!F10,"Unit Price Reduction ("&amp;TEXT('2_BOM_BREAKDOWN'!F10,"#,##0.00")&amp;" ➔ "&amp;TEXT('2_BOM_BREAKDOWN'!G10,"#,##0.00")&amp;" THB)",IF('2_BOM_BREAKDOWN'!I10&gt;'2_BOM_BREAKDOWN'!H10,"Loss % Increase ("&amp;TEXT('2_BOM_BREAKDOWN'!H10,"0.0%")&amp;" ➔ "&amp;TEXT('2_BOM_BREAKDOWN'!I10,"0.0%")&amp;")",IF('2_BOM_BREAKDOWN'!I10&lt;'2_BOM_BREAKDOWN'!H10,"Loss % Reduction ("&amp;TEXT('2_BOM_BREAKDOWN'!H10,"0.0%")&amp;" ➔ "&amp;TEXT('2_BOM_BREAKDOWN'!I10,"0.0%")&amp;")",""))))),"")</f>
      </c>
      <c r="E9" s="16">
        <f>IFERROR(IF(OR('2_BOM_BREAKDOWN'!C10="",""),"",IF('2_BOM_BREAKDOWN'!G10&lt;&gt;'2_BOM_BREAKDOWN'!F10,'2_BOM_BREAKDOWN'!F10,IF('2_BOM_BREAKDOWN'!I10&lt;&gt;'2_BOM_BREAKDOWN'!H10,'2_BOM_BREAKDOWN'!H10,""))),"")</f>
      </c>
      <c r="F9" s="16">
        <f>IFERROR(IF(OR('2_BOM_BREAKDOWN'!C10="",""),"",IF('2_BOM_BREAKDOWN'!G10&lt;&gt;'2_BOM_BREAKDOWN'!F10,'2_BOM_BREAKDOWN'!G10,IF('2_BOM_BREAKDOWN'!I10&lt;&gt;'2_BOM_BREAKDOWN'!H10,'2_BOM_BREAKDOWN'!I10,""))),"")</f>
      </c>
      <c r="G9" s="17">
        <f>IFERROR(IF(OR('2_BOM_BREAKDOWN'!C10="",'2_BOM_BREAKDOWN'!H29=""),"",'2_BOM_BREAKDOWN'!H29),"")</f>
      </c>
      <c r="H9" s="18">
        <f>IFERROR(IF(OR(G9="",G9&lt;=0), "", G9+(55-A9)*0.00000001), "")</f>
      </c>
    </row>
    <row r="10" spans="1:8" x14ac:dyDescent="0.25">
      <c r="A10" s="9">
        <v>7</v>
      </c>
      <c r="B10" s="9">
        <f>IFERROR(IF('2_BOM_BREAKDOWN'!C11="","","Direct Material"),"")</f>
      </c>
      <c r="C10" s="9">
        <f>IFERROR(IF('2_BOM_BREAKDOWN'!C11="","",'2_BOM_BREAKDOWN'!C11),"")</f>
      </c>
      <c r="D10" s="9">
        <f>IFERROR(IF(OR('2_BOM_BREAKDOWN'!C11="",""),"",IF('2_BOM_BREAKDOWN'!G11&gt;'2_BOM_BREAKDOWN'!F11,"Unit Price Inflation ("&amp;TEXT('2_BOM_BREAKDOWN'!F11,"#,##0.00")&amp;" ➔ "&amp;TEXT('2_BOM_BREAKDOWN'!G11,"#,##0.00")&amp;" THB)",IF('2_BOM_BREAKDOWN'!G11&lt;'2_BOM_BREAKDOWN'!F11,"Unit Price Reduction ("&amp;TEXT('2_BOM_BREAKDOWN'!F11,"#,##0.00")&amp;" ➔ "&amp;TEXT('2_BOM_BREAKDOWN'!G11,"#,##0.00")&amp;" THB)",IF('2_BOM_BREAKDOWN'!I11&gt;'2_BOM_BREAKDOWN'!H11,"Loss % Increase ("&amp;TEXT('2_BOM_BREAKDOWN'!H11,"0.0%")&amp;" ➔ "&amp;TEXT('2_BOM_BREAKDOWN'!I11,"0.0%")&amp;")",IF('2_BOM_BREAKDOWN'!I11&lt;'2_BOM_BREAKDOWN'!H11,"Loss % Reduction ("&amp;TEXT('2_BOM_BREAKDOWN'!H11,"0.0%")&amp;" ➔ "&amp;TEXT('2_BOM_BREAKDOWN'!I11,"0.0%")&amp;")",""))))),"")</f>
      </c>
      <c r="E10" s="16">
        <f>IFERROR(IF(OR('2_BOM_BREAKDOWN'!C11="",""),"",IF('2_BOM_BREAKDOWN'!G11&lt;&gt;'2_BOM_BREAKDOWN'!F11,'2_BOM_BREAKDOWN'!F11,IF('2_BOM_BREAKDOWN'!I11&lt;&gt;'2_BOM_BREAKDOWN'!H11,'2_BOM_BREAKDOWN'!H11,""))),"")</f>
      </c>
      <c r="F10" s="16">
        <f>IFERROR(IF(OR('2_BOM_BREAKDOWN'!C11="",""),"",IF('2_BOM_BREAKDOWN'!G11&lt;&gt;'2_BOM_BREAKDOWN'!F11,'2_BOM_BREAKDOWN'!G11,IF('2_BOM_BREAKDOWN'!I11&lt;&gt;'2_BOM_BREAKDOWN'!H11,'2_BOM_BREAKDOWN'!I11,""))),"")</f>
      </c>
      <c r="G10" s="17">
        <f>IFERROR(IF(OR('2_BOM_BREAKDOWN'!C11="",'2_BOM_BREAKDOWN'!H30=""),"",'2_BOM_BREAKDOWN'!H30),"")</f>
      </c>
      <c r="H10" s="18">
        <f>IFERROR(IF(OR(G10="",G10&lt;=0), "", G10+(55-A10)*0.00000001), "")</f>
      </c>
    </row>
    <row r="11" spans="1:8" x14ac:dyDescent="0.25">
      <c r="A11" s="9">
        <v>8</v>
      </c>
      <c r="B11" s="9">
        <f>IFERROR(IF('2_BOM_BREAKDOWN'!C12="","","Direct Material"),"")</f>
      </c>
      <c r="C11" s="9">
        <f>IFERROR(IF('2_BOM_BREAKDOWN'!C12="","",'2_BOM_BREAKDOWN'!C12),"")</f>
      </c>
      <c r="D11" s="9">
        <f>IFERROR(IF(OR('2_BOM_BREAKDOWN'!C12="",""),"",IF('2_BOM_BREAKDOWN'!G12&gt;'2_BOM_BREAKDOWN'!F12,"Unit Price Inflation ("&amp;TEXT('2_BOM_BREAKDOWN'!F12,"#,##0.00")&amp;" ➔ "&amp;TEXT('2_BOM_BREAKDOWN'!G12,"#,##0.00")&amp;" THB)",IF('2_BOM_BREAKDOWN'!G12&lt;'2_BOM_BREAKDOWN'!F12,"Unit Price Reduction ("&amp;TEXT('2_BOM_BREAKDOWN'!F12,"#,##0.00")&amp;" ➔ "&amp;TEXT('2_BOM_BREAKDOWN'!G12,"#,##0.00")&amp;" THB)",IF('2_BOM_BREAKDOWN'!I12&gt;'2_BOM_BREAKDOWN'!H12,"Loss % Increase ("&amp;TEXT('2_BOM_BREAKDOWN'!H12,"0.0%")&amp;" ➔ "&amp;TEXT('2_BOM_BREAKDOWN'!I12,"0.0%")&amp;")",IF('2_BOM_BREAKDOWN'!I12&lt;'2_BOM_BREAKDOWN'!H12,"Loss % Reduction ("&amp;TEXT('2_BOM_BREAKDOWN'!H12,"0.0%")&amp;" ➔ "&amp;TEXT('2_BOM_BREAKDOWN'!I12,"0.0%")&amp;")",""))))),"")</f>
      </c>
      <c r="E11" s="16">
        <f>IFERROR(IF(OR('2_BOM_BREAKDOWN'!C12="",""),"",IF('2_BOM_BREAKDOWN'!G12&lt;&gt;'2_BOM_BREAKDOWN'!F12,'2_BOM_BREAKDOWN'!F12,IF('2_BOM_BREAKDOWN'!I12&lt;&gt;'2_BOM_BREAKDOWN'!H12,'2_BOM_BREAKDOWN'!H12,""))),"")</f>
      </c>
      <c r="F11" s="16">
        <f>IFERROR(IF(OR('2_BOM_BREAKDOWN'!C12="",""),"",IF('2_BOM_BREAKDOWN'!G12&lt;&gt;'2_BOM_BREAKDOWN'!F12,'2_BOM_BREAKDOWN'!G12,IF('2_BOM_BREAKDOWN'!I12&lt;&gt;'2_BOM_BREAKDOWN'!H12,'2_BOM_BREAKDOWN'!I12,""))),"")</f>
      </c>
      <c r="G11" s="17">
        <f>IFERROR(IF(OR('2_BOM_BREAKDOWN'!C12="",'2_BOM_BREAKDOWN'!H31=""),"",'2_BOM_BREAKDOWN'!H31),"")</f>
      </c>
      <c r="H11" s="18">
        <f>IFERROR(IF(OR(G11="",G11&lt;=0), "", G11+(55-A11)*0.00000001), "")</f>
      </c>
    </row>
    <row r="12" spans="1:8" x14ac:dyDescent="0.25">
      <c r="A12" s="9">
        <v>9</v>
      </c>
      <c r="B12" s="9">
        <f>IFERROR(IF('2_BOM_BREAKDOWN'!C13="","","Direct Material"),"")</f>
      </c>
      <c r="C12" s="9">
        <f>IFERROR(IF('2_BOM_BREAKDOWN'!C13="","",'2_BOM_BREAKDOWN'!C13),"")</f>
      </c>
      <c r="D12" s="9">
        <f>IFERROR(IF(OR('2_BOM_BREAKDOWN'!C13="",""),"",IF('2_BOM_BREAKDOWN'!G13&gt;'2_BOM_BREAKDOWN'!F13,"Unit Price Inflation ("&amp;TEXT('2_BOM_BREAKDOWN'!F13,"#,##0.00")&amp;" ➔ "&amp;TEXT('2_BOM_BREAKDOWN'!G13,"#,##0.00")&amp;" THB)",IF('2_BOM_BREAKDOWN'!G13&lt;'2_BOM_BREAKDOWN'!F13,"Unit Price Reduction ("&amp;TEXT('2_BOM_BREAKDOWN'!F13,"#,##0.00")&amp;" ➔ "&amp;TEXT('2_BOM_BREAKDOWN'!G13,"#,##0.00")&amp;" THB)",IF('2_BOM_BREAKDOWN'!I13&gt;'2_BOM_BREAKDOWN'!H13,"Loss % Increase ("&amp;TEXT('2_BOM_BREAKDOWN'!H13,"0.0%")&amp;" ➔ "&amp;TEXT('2_BOM_BREAKDOWN'!I13,"0.0%")&amp;")",IF('2_BOM_BREAKDOWN'!I13&lt;'2_BOM_BREAKDOWN'!H13,"Loss % Reduction ("&amp;TEXT('2_BOM_BREAKDOWN'!H13,"0.0%")&amp;" ➔ "&amp;TEXT('2_BOM_BREAKDOWN'!I13,"0.0%")&amp;")",""))))),"")</f>
      </c>
      <c r="E12" s="16">
        <f>IFERROR(IF(OR('2_BOM_BREAKDOWN'!C13="",""),"",IF('2_BOM_BREAKDOWN'!G13&lt;&gt;'2_BOM_BREAKDOWN'!F13,'2_BOM_BREAKDOWN'!F13,IF('2_BOM_BREAKDOWN'!I13&lt;&gt;'2_BOM_BREAKDOWN'!H13,'2_BOM_BREAKDOWN'!H13,""))),"")</f>
      </c>
      <c r="F12" s="16">
        <f>IFERROR(IF(OR('2_BOM_BREAKDOWN'!C13="",""),"",IF('2_BOM_BREAKDOWN'!G13&lt;&gt;'2_BOM_BREAKDOWN'!F13,'2_BOM_BREAKDOWN'!G13,IF('2_BOM_BREAKDOWN'!I13&lt;&gt;'2_BOM_BREAKDOWN'!H13,'2_BOM_BREAKDOWN'!I13,""))),"")</f>
      </c>
      <c r="G12" s="17">
        <f>IFERROR(IF(OR('2_BOM_BREAKDOWN'!C13="",'2_BOM_BREAKDOWN'!H32=""),"",'2_BOM_BREAKDOWN'!H32),"")</f>
      </c>
      <c r="H12" s="18">
        <f>IFERROR(IF(OR(G12="",G12&lt;=0), "", G12+(55-A12)*0.00000001), "")</f>
      </c>
    </row>
    <row r="13" spans="1:8" x14ac:dyDescent="0.25">
      <c r="A13" s="9">
        <v>10</v>
      </c>
      <c r="B13" s="9">
        <f>IFERROR(IF('2_BOM_BREAKDOWN'!C14="","","Direct Material"),"")</f>
      </c>
      <c r="C13" s="9">
        <f>IFERROR(IF('2_BOM_BREAKDOWN'!C14="","",'2_BOM_BREAKDOWN'!C14),"")</f>
      </c>
      <c r="D13" s="9">
        <f>IFERROR(IF(OR('2_BOM_BREAKDOWN'!C14="",""),"",IF('2_BOM_BREAKDOWN'!G14&gt;'2_BOM_BREAKDOWN'!F14,"Unit Price Inflation ("&amp;TEXT('2_BOM_BREAKDOWN'!F14,"#,##0.00")&amp;" ➔ "&amp;TEXT('2_BOM_BREAKDOWN'!G14,"#,##0.00")&amp;" THB)",IF('2_BOM_BREAKDOWN'!G14&lt;'2_BOM_BREAKDOWN'!F14,"Unit Price Reduction ("&amp;TEXT('2_BOM_BREAKDOWN'!F14,"#,##0.00")&amp;" ➔ "&amp;TEXT('2_BOM_BREAKDOWN'!G14,"#,##0.00")&amp;" THB)",IF('2_BOM_BREAKDOWN'!I14&gt;'2_BOM_BREAKDOWN'!H14,"Loss % Increase ("&amp;TEXT('2_BOM_BREAKDOWN'!H14,"0.0%")&amp;" ➔ "&amp;TEXT('2_BOM_BREAKDOWN'!I14,"0.0%")&amp;")",IF('2_BOM_BREAKDOWN'!I14&lt;'2_BOM_BREAKDOWN'!H14,"Loss % Reduction ("&amp;TEXT('2_BOM_BREAKDOWN'!H14,"0.0%")&amp;" ➔ "&amp;TEXT('2_BOM_BREAKDOWN'!I14,"0.0%")&amp;")",""))))),"")</f>
      </c>
      <c r="E13" s="16">
        <f>IFERROR(IF(OR('2_BOM_BREAKDOWN'!C14="",""),"",IF('2_BOM_BREAKDOWN'!G14&lt;&gt;'2_BOM_BREAKDOWN'!F14,'2_BOM_BREAKDOWN'!F14,IF('2_BOM_BREAKDOWN'!I14&lt;&gt;'2_BOM_BREAKDOWN'!H14,'2_BOM_BREAKDOWN'!H14,""))),"")</f>
      </c>
      <c r="F13" s="16">
        <f>IFERROR(IF(OR('2_BOM_BREAKDOWN'!C14="",""),"",IF('2_BOM_BREAKDOWN'!G14&lt;&gt;'2_BOM_BREAKDOWN'!F14,'2_BOM_BREAKDOWN'!G14,IF('2_BOM_BREAKDOWN'!I14&lt;&gt;'2_BOM_BREAKDOWN'!H14,'2_BOM_BREAKDOWN'!I14,""))),"")</f>
      </c>
      <c r="G13" s="17">
        <f>IFERROR(IF(OR('2_BOM_BREAKDOWN'!C14="",'2_BOM_BREAKDOWN'!H33=""),"",'2_BOM_BREAKDOWN'!H33),"")</f>
      </c>
      <c r="H13" s="18">
        <f>IFERROR(IF(OR(G13="",G13&lt;=0), "", G13+(55-A13)*0.00000001), "")</f>
      </c>
    </row>
    <row r="14" spans="1:8" x14ac:dyDescent="0.25">
      <c r="A14" s="9">
        <v>11</v>
      </c>
      <c r="B14" s="9">
        <f>IFERROR(IF('2_BOM_BREAKDOWN'!C15="","","Direct Material"),"")</f>
      </c>
      <c r="C14" s="9">
        <f>IFERROR(IF('2_BOM_BREAKDOWN'!C15="","",'2_BOM_BREAKDOWN'!C15),"")</f>
      </c>
      <c r="D14" s="9">
        <f>IFERROR(IF(OR('2_BOM_BREAKDOWN'!C15="",""),"",IF('2_BOM_BREAKDOWN'!G15&gt;'2_BOM_BREAKDOWN'!F15,"Unit Price Inflation ("&amp;TEXT('2_BOM_BREAKDOWN'!F15,"#,##0.00")&amp;" ➔ "&amp;TEXT('2_BOM_BREAKDOWN'!G15,"#,##0.00")&amp;" THB)",IF('2_BOM_BREAKDOWN'!G15&lt;'2_BOM_BREAKDOWN'!F15,"Unit Price Reduction ("&amp;TEXT('2_BOM_BREAKDOWN'!F15,"#,##0.00")&amp;" ➔ "&amp;TEXT('2_BOM_BREAKDOWN'!G15,"#,##0.00")&amp;" THB)",IF('2_BOM_BREAKDOWN'!I15&gt;'2_BOM_BREAKDOWN'!H15,"Loss % Increase ("&amp;TEXT('2_BOM_BREAKDOWN'!H15,"0.0%")&amp;" ➔ "&amp;TEXT('2_BOM_BREAKDOWN'!I15,"0.0%")&amp;")",IF('2_BOM_BREAKDOWN'!I15&lt;'2_BOM_BREAKDOWN'!H15,"Loss % Reduction ("&amp;TEXT('2_BOM_BREAKDOWN'!H15,"0.0%")&amp;" ➔ "&amp;TEXT('2_BOM_BREAKDOWN'!I15,"0.0%")&amp;")",""))))),"")</f>
      </c>
      <c r="E14" s="16">
        <f>IFERROR(IF(OR('2_BOM_BREAKDOWN'!C15="",""),"",IF('2_BOM_BREAKDOWN'!G15&lt;&gt;'2_BOM_BREAKDOWN'!F15,'2_BOM_BREAKDOWN'!F15,IF('2_BOM_BREAKDOWN'!I15&lt;&gt;'2_BOM_BREAKDOWN'!H15,'2_BOM_BREAKDOWN'!H15,""))),"")</f>
      </c>
      <c r="F14" s="16">
        <f>IFERROR(IF(OR('2_BOM_BREAKDOWN'!C15="",""),"",IF('2_BOM_BREAKDOWN'!G15&lt;&gt;'2_BOM_BREAKDOWN'!F15,'2_BOM_BREAKDOWN'!G15,IF('2_BOM_BREAKDOWN'!I15&lt;&gt;'2_BOM_BREAKDOWN'!H15,'2_BOM_BREAKDOWN'!I15,""))),"")</f>
      </c>
      <c r="G14" s="17">
        <f>IFERROR(IF(OR('2_BOM_BREAKDOWN'!C15="",'2_BOM_BREAKDOWN'!H34=""),"",'2_BOM_BREAKDOWN'!H34),"")</f>
      </c>
      <c r="H14" s="18">
        <f>IFERROR(IF(OR(G14="",G14&lt;=0), "", G14+(55-A14)*0.00000001), "")</f>
      </c>
    </row>
    <row r="15" spans="1:8" x14ac:dyDescent="0.25">
      <c r="A15" s="9">
        <v>12</v>
      </c>
      <c r="B15" s="9">
        <f>IFERROR(IF('2_BOM_BREAKDOWN'!C16="","","Direct Material"),"")</f>
      </c>
      <c r="C15" s="9">
        <f>IFERROR(IF('2_BOM_BREAKDOWN'!C16="","",'2_BOM_BREAKDOWN'!C16),"")</f>
      </c>
      <c r="D15" s="9">
        <f>IFERROR(IF(OR('2_BOM_BREAKDOWN'!C16="",""),"",IF('2_BOM_BREAKDOWN'!G16&gt;'2_BOM_BREAKDOWN'!F16,"Unit Price Inflation ("&amp;TEXT('2_BOM_BREAKDOWN'!F16,"#,##0.00")&amp;" ➔ "&amp;TEXT('2_BOM_BREAKDOWN'!G16,"#,##0.00")&amp;" THB)",IF('2_BOM_BREAKDOWN'!G16&lt;'2_BOM_BREAKDOWN'!F16,"Unit Price Reduction ("&amp;TEXT('2_BOM_BREAKDOWN'!F16,"#,##0.00")&amp;" ➔ "&amp;TEXT('2_BOM_BREAKDOWN'!G16,"#,##0.00")&amp;" THB)",IF('2_BOM_BREAKDOWN'!I16&gt;'2_BOM_BREAKDOWN'!H16,"Loss % Increase ("&amp;TEXT('2_BOM_BREAKDOWN'!H16,"0.0%")&amp;" ➔ "&amp;TEXT('2_BOM_BREAKDOWN'!I16,"0.0%")&amp;")",IF('2_BOM_BREAKDOWN'!I16&lt;'2_BOM_BREAKDOWN'!H16,"Loss % Reduction ("&amp;TEXT('2_BOM_BREAKDOWN'!H16,"0.0%")&amp;" ➔ "&amp;TEXT('2_BOM_BREAKDOWN'!I16,"0.0%")&amp;")",""))))),"")</f>
      </c>
      <c r="E15" s="16">
        <f>IFERROR(IF(OR('2_BOM_BREAKDOWN'!C16="",""),"",IF('2_BOM_BREAKDOWN'!G16&lt;&gt;'2_BOM_BREAKDOWN'!F16,'2_BOM_BREAKDOWN'!F16,IF('2_BOM_BREAKDOWN'!I16&lt;&gt;'2_BOM_BREAKDOWN'!H16,'2_BOM_BREAKDOWN'!H16,""))),"")</f>
      </c>
      <c r="F15" s="16">
        <f>IFERROR(IF(OR('2_BOM_BREAKDOWN'!C16="",""),"",IF('2_BOM_BREAKDOWN'!G16&lt;&gt;'2_BOM_BREAKDOWN'!F16,'2_BOM_BREAKDOWN'!G16,IF('2_BOM_BREAKDOWN'!I16&lt;&gt;'2_BOM_BREAKDOWN'!H16,'2_BOM_BREAKDOWN'!I16,""))),"")</f>
      </c>
      <c r="G15" s="17">
        <f>IFERROR(IF(OR('2_BOM_BREAKDOWN'!C16="",'2_BOM_BREAKDOWN'!H35=""),"",'2_BOM_BREAKDOWN'!H35),"")</f>
      </c>
      <c r="H15" s="18">
        <f>IFERROR(IF(OR(G15="",G15&lt;=0), "", G15+(55-A15)*0.00000001), "")</f>
      </c>
    </row>
    <row r="16" spans="1:8" x14ac:dyDescent="0.25">
      <c r="A16" s="9">
        <v>13</v>
      </c>
      <c r="B16" s="9">
        <f>IFERROR(IF('2_BOM_BREAKDOWN'!C17="","","Direct Material"),"")</f>
      </c>
      <c r="C16" s="9">
        <f>IFERROR(IF('2_BOM_BREAKDOWN'!C17="","",'2_BOM_BREAKDOWN'!C17),"")</f>
      </c>
      <c r="D16" s="9">
        <f>IFERROR(IF(OR('2_BOM_BREAKDOWN'!C17="",""),"",IF('2_BOM_BREAKDOWN'!G17&gt;'2_BOM_BREAKDOWN'!F17,"Unit Price Inflation ("&amp;TEXT('2_BOM_BREAKDOWN'!F17,"#,##0.00")&amp;" ➔ "&amp;TEXT('2_BOM_BREAKDOWN'!G17,"#,##0.00")&amp;" THB)",IF('2_BOM_BREAKDOWN'!G17&lt;'2_BOM_BREAKDOWN'!F17,"Unit Price Reduction ("&amp;TEXT('2_BOM_BREAKDOWN'!F17,"#,##0.00")&amp;" ➔ "&amp;TEXT('2_BOM_BREAKDOWN'!G17,"#,##0.00")&amp;" THB)",IF('2_BOM_BREAKDOWN'!I17&gt;'2_BOM_BREAKDOWN'!H17,"Loss % Increase ("&amp;TEXT('2_BOM_BREAKDOWN'!H17,"0.0%")&amp;" ➔ "&amp;TEXT('2_BOM_BREAKDOWN'!I17,"0.0%")&amp;")",IF('2_BOM_BREAKDOWN'!I17&lt;'2_BOM_BREAKDOWN'!H17,"Loss % Reduction ("&amp;TEXT('2_BOM_BREAKDOWN'!H17,"0.0%")&amp;" ➔ "&amp;TEXT('2_BOM_BREAKDOWN'!I17,"0.0%")&amp;")",""))))),"")</f>
      </c>
      <c r="E16" s="16">
        <f>IFERROR(IF(OR('2_BOM_BREAKDOWN'!C17="",""),"",IF('2_BOM_BREAKDOWN'!G17&lt;&gt;'2_BOM_BREAKDOWN'!F17,'2_BOM_BREAKDOWN'!F17,IF('2_BOM_BREAKDOWN'!I17&lt;&gt;'2_BOM_BREAKDOWN'!H17,'2_BOM_BREAKDOWN'!H17,""))),"")</f>
      </c>
      <c r="F16" s="16">
        <f>IFERROR(IF(OR('2_BOM_BREAKDOWN'!C17="",""),"",IF('2_BOM_BREAKDOWN'!G17&lt;&gt;'2_BOM_BREAKDOWN'!F17,'2_BOM_BREAKDOWN'!G17,IF('2_BOM_BREAKDOWN'!I17&lt;&gt;'2_BOM_BREAKDOWN'!H17,'2_BOM_BREAKDOWN'!I17,""))),"")</f>
      </c>
      <c r="G16" s="17">
        <f>IFERROR(IF(OR('2_BOM_BREAKDOWN'!C17="",'2_BOM_BREAKDOWN'!H36=""),"",'2_BOM_BREAKDOWN'!H36),"")</f>
      </c>
      <c r="H16" s="18">
        <f>IFERROR(IF(OR(G16="",G16&lt;=0), "", G16+(55-A16)*0.00000001), "")</f>
      </c>
    </row>
    <row r="17" spans="1:8" x14ac:dyDescent="0.25">
      <c r="A17" s="9">
        <v>14</v>
      </c>
      <c r="B17" s="9">
        <f>IFERROR(IF('2_BOM_BREAKDOWN'!C18="","","Direct Material"),"")</f>
      </c>
      <c r="C17" s="9">
        <f>IFERROR(IF('2_BOM_BREAKDOWN'!C18="","",'2_BOM_BREAKDOWN'!C18),"")</f>
      </c>
      <c r="D17" s="9">
        <f>IFERROR(IF(OR('2_BOM_BREAKDOWN'!C18="",""),"",IF('2_BOM_BREAKDOWN'!G18&gt;'2_BOM_BREAKDOWN'!F18,"Unit Price Inflation ("&amp;TEXT('2_BOM_BREAKDOWN'!F18,"#,##0.00")&amp;" ➔ "&amp;TEXT('2_BOM_BREAKDOWN'!G18,"#,##0.00")&amp;" THB)",IF('2_BOM_BREAKDOWN'!G18&lt;'2_BOM_BREAKDOWN'!F18,"Unit Price Reduction ("&amp;TEXT('2_BOM_BREAKDOWN'!F18,"#,##0.00")&amp;" ➔ "&amp;TEXT('2_BOM_BREAKDOWN'!G18,"#,##0.00")&amp;" THB)",IF('2_BOM_BREAKDOWN'!I18&gt;'2_BOM_BREAKDOWN'!H18,"Loss % Increase ("&amp;TEXT('2_BOM_BREAKDOWN'!H18,"0.0%")&amp;" ➔ "&amp;TEXT('2_BOM_BREAKDOWN'!I18,"0.0%")&amp;")",IF('2_BOM_BREAKDOWN'!I18&lt;'2_BOM_BREAKDOWN'!H18,"Loss % Reduction ("&amp;TEXT('2_BOM_BREAKDOWN'!H18,"0.0%")&amp;" ➔ "&amp;TEXT('2_BOM_BREAKDOWN'!I18,"0.0%")&amp;")",""))))),"")</f>
      </c>
      <c r="E17" s="16">
        <f>IFERROR(IF(OR('2_BOM_BREAKDOWN'!C18="",""),"",IF('2_BOM_BREAKDOWN'!G18&lt;&gt;'2_BOM_BREAKDOWN'!F18,'2_BOM_BREAKDOWN'!F18,IF('2_BOM_BREAKDOWN'!I18&lt;&gt;'2_BOM_BREAKDOWN'!H18,'2_BOM_BREAKDOWN'!H18,""))),"")</f>
      </c>
      <c r="F17" s="16">
        <f>IFERROR(IF(OR('2_BOM_BREAKDOWN'!C18="",""),"",IF('2_BOM_BREAKDOWN'!G18&lt;&gt;'2_BOM_BREAKDOWN'!F18,'2_BOM_BREAKDOWN'!G18,IF('2_BOM_BREAKDOWN'!I18&lt;&gt;'2_BOM_BREAKDOWN'!H18,'2_BOM_BREAKDOWN'!I18,""))),"")</f>
      </c>
      <c r="G17" s="17">
        <f>IFERROR(IF(OR('2_BOM_BREAKDOWN'!C18="",'2_BOM_BREAKDOWN'!H37=""),"",'2_BOM_BREAKDOWN'!H37),"")</f>
      </c>
      <c r="H17" s="18">
        <f>IFERROR(IF(OR(G17="",G17&lt;=0), "", G17+(55-A17)*0.00000001), "")</f>
      </c>
    </row>
    <row r="18" spans="1:8" x14ac:dyDescent="0.25">
      <c r="A18" s="9">
        <v>15</v>
      </c>
      <c r="B18" s="9">
        <f>IFERROR(IF('2_BOM_BREAKDOWN'!C19="","","Direct Material"),"")</f>
      </c>
      <c r="C18" s="9">
        <f>IFERROR(IF('2_BOM_BREAKDOWN'!C19="","",'2_BOM_BREAKDOWN'!C19),"")</f>
      </c>
      <c r="D18" s="9">
        <f>IFERROR(IF(OR('2_BOM_BREAKDOWN'!C19="",""),"",IF('2_BOM_BREAKDOWN'!G19&gt;'2_BOM_BREAKDOWN'!F19,"Unit Price Inflation ("&amp;TEXT('2_BOM_BREAKDOWN'!F19,"#,##0.00")&amp;" ➔ "&amp;TEXT('2_BOM_BREAKDOWN'!G19,"#,##0.00")&amp;" THB)",IF('2_BOM_BREAKDOWN'!G19&lt;'2_BOM_BREAKDOWN'!F19,"Unit Price Reduction ("&amp;TEXT('2_BOM_BREAKDOWN'!F19,"#,##0.00")&amp;" ➔ "&amp;TEXT('2_BOM_BREAKDOWN'!G19,"#,##0.00")&amp;" THB)",IF('2_BOM_BREAKDOWN'!I19&gt;'2_BOM_BREAKDOWN'!H19,"Loss % Increase ("&amp;TEXT('2_BOM_BREAKDOWN'!H19,"0.0%")&amp;" ➔ "&amp;TEXT('2_BOM_BREAKDOWN'!I19,"0.0%")&amp;")",IF('2_BOM_BREAKDOWN'!I19&lt;'2_BOM_BREAKDOWN'!H19,"Loss % Reduction ("&amp;TEXT('2_BOM_BREAKDOWN'!H19,"0.0%")&amp;" ➔ "&amp;TEXT('2_BOM_BREAKDOWN'!I19,"0.0%")&amp;")",""))))),"")</f>
      </c>
      <c r="E18" s="16">
        <f>IFERROR(IF(OR('2_BOM_BREAKDOWN'!C19="",""),"",IF('2_BOM_BREAKDOWN'!G19&lt;&gt;'2_BOM_BREAKDOWN'!F19,'2_BOM_BREAKDOWN'!F19,IF('2_BOM_BREAKDOWN'!I19&lt;&gt;'2_BOM_BREAKDOWN'!H19,'2_BOM_BREAKDOWN'!H19,""))),"")</f>
      </c>
      <c r="F18" s="16">
        <f>IFERROR(IF(OR('2_BOM_BREAKDOWN'!C19="",""),"",IF('2_BOM_BREAKDOWN'!G19&lt;&gt;'2_BOM_BREAKDOWN'!F19,'2_BOM_BREAKDOWN'!G19,IF('2_BOM_BREAKDOWN'!I19&lt;&gt;'2_BOM_BREAKDOWN'!H19,'2_BOM_BREAKDOWN'!I19,""))),"")</f>
      </c>
      <c r="G18" s="17">
        <f>IFERROR(IF(OR('2_BOM_BREAKDOWN'!C19="",'2_BOM_BREAKDOWN'!H38=""),"",'2_BOM_BREAKDOWN'!H38),"")</f>
      </c>
      <c r="H18" s="18">
        <f>IFERROR(IF(OR(G18="",G18&lt;=0), "", G18+(55-A18)*0.00000001), "")</f>
      </c>
    </row>
    <row r="19" spans="1:8" x14ac:dyDescent="0.25">
      <c r="A19" s="9">
        <v>16</v>
      </c>
      <c r="B19" s="9">
        <f>IFERROR(IF('2_BOM_BREAKDOWN'!C20="","","Direct Material"),"")</f>
      </c>
      <c r="C19" s="9">
        <f>IFERROR(IF('2_BOM_BREAKDOWN'!C20="","",'2_BOM_BREAKDOWN'!C20),"")</f>
      </c>
      <c r="D19" s="9">
        <f>IFERROR(IF(OR('2_BOM_BREAKDOWN'!C20="",""),"",IF('2_BOM_BREAKDOWN'!G20&gt;'2_BOM_BREAKDOWN'!F20,"Unit Price Inflation ("&amp;TEXT('2_BOM_BREAKDOWN'!F20,"#,##0.00")&amp;" ➔ "&amp;TEXT('2_BOM_BREAKDOWN'!G20,"#,##0.00")&amp;" THB)",IF('2_BOM_BREAKDOWN'!G20&lt;'2_BOM_BREAKDOWN'!F20,"Unit Price Reduction ("&amp;TEXT('2_BOM_BREAKDOWN'!F20,"#,##0.00")&amp;" ➔ "&amp;TEXT('2_BOM_BREAKDOWN'!G20,"#,##0.00")&amp;" THB)",IF('2_BOM_BREAKDOWN'!I20&gt;'2_BOM_BREAKDOWN'!H20,"Loss % Increase ("&amp;TEXT('2_BOM_BREAKDOWN'!H20,"0.0%")&amp;" ➔ "&amp;TEXT('2_BOM_BREAKDOWN'!I20,"0.0%")&amp;")",IF('2_BOM_BREAKDOWN'!I20&lt;'2_BOM_BREAKDOWN'!H20,"Loss % Reduction ("&amp;TEXT('2_BOM_BREAKDOWN'!H20,"0.0%")&amp;" ➔ "&amp;TEXT('2_BOM_BREAKDOWN'!I20,"0.0%")&amp;")",""))))),"")</f>
      </c>
      <c r="E19" s="16">
        <f>IFERROR(IF(OR('2_BOM_BREAKDOWN'!C20="",""),"",IF('2_BOM_BREAKDOWN'!G20&lt;&gt;'2_BOM_BREAKDOWN'!F20,'2_BOM_BREAKDOWN'!F20,IF('2_BOM_BREAKDOWN'!I20&lt;&gt;'2_BOM_BREAKDOWN'!H20,'2_BOM_BREAKDOWN'!H20,""))),"")</f>
      </c>
      <c r="F19" s="16">
        <f>IFERROR(IF(OR('2_BOM_BREAKDOWN'!C20="",""),"",IF('2_BOM_BREAKDOWN'!G20&lt;&gt;'2_BOM_BREAKDOWN'!F20,'2_BOM_BREAKDOWN'!G20,IF('2_BOM_BREAKDOWN'!I20&lt;&gt;'2_BOM_BREAKDOWN'!H20,'2_BOM_BREAKDOWN'!I20,""))),"")</f>
      </c>
      <c r="G19" s="17">
        <f>IFERROR(IF(OR('2_BOM_BREAKDOWN'!C20="",'2_BOM_BREAKDOWN'!H39=""),"",'2_BOM_BREAKDOWN'!H39),"")</f>
      </c>
      <c r="H19" s="18">
        <f>IFERROR(IF(OR(G19="",G19&lt;=0), "", G19+(55-A19)*0.00000001), "")</f>
      </c>
    </row>
    <row r="20" spans="1:8" x14ac:dyDescent="0.25">
      <c r="A20" s="9">
        <v>17</v>
      </c>
      <c r="B20" s="9">
        <f>IFERROR(IF('3_ROUTING_BREAKDOWN'!B5="","",'3_ROUTING_BREAKDOWN'!B5),"")</f>
      </c>
      <c r="C20" s="9">
        <f>IFERROR(IF('3_ROUTING_BREAKDOWN'!C5="","",'3_ROUTING_BREAKDOWN'!C5),"")</f>
      </c>
      <c r="D20" s="9">
        <f>IFERROR(IF(OR('3_ROUTING_BREAKDOWN'!C5="",""),"",IF('3_ROUTING_BREAKDOWN'!I5&lt;'3_ROUTING_BREAKDOWN'!H5,"Yield Drop ("&amp;TEXT('3_ROUTING_BREAKDOWN'!H5,"0.0%")&amp;" ➔ "&amp;TEXT('3_ROUTING_BREAKDOWN'!I5,"0.0%")&amp;")",IF('3_ROUTING_BREAKDOWN'!I5&gt;'3_ROUTING_BREAKDOWN'!H5,"Yield Improvement ("&amp;TEXT('3_ROUTING_BREAKDOWN'!H5,"0.0%")&amp;" ➔ "&amp;TEXT('3_ROUTING_BREAKDOWN'!I5,"0.0%")&amp;")",IF('3_ROUTING_BREAKDOWN'!G5&lt;'3_ROUTING_BREAKDOWN'!F5,"Capacity Drop ("&amp;TEXT('3_ROUTING_BREAKDOWN'!F5,"#,##0")&amp;" ➔ "&amp;TEXT('3_ROUTING_BREAKDOWN'!G5,"#,##0")&amp;" Unit/hr)",IF('3_ROUTING_BREAKDOWN'!G5&gt;'3_ROUTING_BREAKDOWN'!F5,"Capacity Improvement ("&amp;TEXT('3_ROUTING_BREAKDOWN'!F5,"#,##0")&amp;" ➔ "&amp;TEXT('3_ROUTING_BREAKDOWN'!G5,"#,##0")&amp;" Unit/hr)",""))))),"")</f>
      </c>
      <c r="E20" s="16">
        <f>IFERROR(IF(OR('3_ROUTING_BREAKDOWN'!C5="",""),"",IF('3_ROUTING_BREAKDOWN'!I5&lt;&gt;'3_ROUTING_BREAKDOWN'!H5,'3_ROUTING_BREAKDOWN'!H5,IF('3_ROUTING_BREAKDOWN'!G5&lt;&gt;'3_ROUTING_BREAKDOWN'!F5,'3_ROUTING_BREAKDOWN'!F5,""))),"")</f>
      </c>
      <c r="F20" s="16">
        <f>IFERROR(IF(OR('3_ROUTING_BREAKDOWN'!C5="",""),"",IF('3_ROUTING_BREAKDOWN'!I5&lt;&gt;'3_ROUTING_BREAKDOWN'!H5,'3_ROUTING_BREAKDOWN'!I5,IF('3_ROUTING_BREAKDOWN'!G5&lt;&gt;'3_ROUTING_BREAKDOWN'!F5,'3_ROUTING_BREAKDOWN'!G5,""))),"")</f>
      </c>
      <c r="G20" s="17">
        <f>IFERROR(IF(OR('3_ROUTING_BREAKDOWN'!C5="",'3_ROUTING_BREAKDOWN'!P47=""),"",'3_ROUTING_BREAKDOWN'!P47),"")</f>
      </c>
      <c r="H20" s="18">
        <f>IFERROR(IF(OR(G20="",G20&lt;=0), "", G20+(55-A20)*0.00000001), "")</f>
      </c>
    </row>
    <row r="21" spans="1:8" x14ac:dyDescent="0.25">
      <c r="A21" s="9">
        <v>18</v>
      </c>
      <c r="B21" s="9">
        <f>IFERROR(IF('3_ROUTING_BREAKDOWN'!B6="","",'3_ROUTING_BREAKDOWN'!B6),"")</f>
      </c>
      <c r="C21" s="9">
        <f>IFERROR(IF('3_ROUTING_BREAKDOWN'!C6="","",'3_ROUTING_BREAKDOWN'!C6),"")</f>
      </c>
      <c r="D21" s="9">
        <f>IFERROR(IF(OR('3_ROUTING_BREAKDOWN'!C6="",""),"",IF('3_ROUTING_BREAKDOWN'!I6&lt;'3_ROUTING_BREAKDOWN'!H6,"Yield Drop ("&amp;TEXT('3_ROUTING_BREAKDOWN'!H6,"0.0%")&amp;" ➔ "&amp;TEXT('3_ROUTING_BREAKDOWN'!I6,"0.0%")&amp;")",IF('3_ROUTING_BREAKDOWN'!I6&gt;'3_ROUTING_BREAKDOWN'!H6,"Yield Improvement ("&amp;TEXT('3_ROUTING_BREAKDOWN'!H6,"0.0%")&amp;" ➔ "&amp;TEXT('3_ROUTING_BREAKDOWN'!I6,"0.0%")&amp;")",IF('3_ROUTING_BREAKDOWN'!G6&lt;'3_ROUTING_BREAKDOWN'!F6,"Capacity Drop ("&amp;TEXT('3_ROUTING_BREAKDOWN'!F6,"#,##0")&amp;" ➔ "&amp;TEXT('3_ROUTING_BREAKDOWN'!G6,"#,##0")&amp;" Unit/hr)",IF('3_ROUTING_BREAKDOWN'!G6&gt;'3_ROUTING_BREAKDOWN'!F6,"Capacity Improvement ("&amp;TEXT('3_ROUTING_BREAKDOWN'!F6,"#,##0")&amp;" ➔ "&amp;TEXT('3_ROUTING_BREAKDOWN'!G6,"#,##0")&amp;" Unit/hr)",""))))),"")</f>
      </c>
      <c r="E21" s="16">
        <f>IFERROR(IF(OR('3_ROUTING_BREAKDOWN'!C6="",""),"",IF('3_ROUTING_BREAKDOWN'!I6&lt;&gt;'3_ROUTING_BREAKDOWN'!H6,'3_ROUTING_BREAKDOWN'!H6,IF('3_ROUTING_BREAKDOWN'!G6&lt;&gt;'3_ROUTING_BREAKDOWN'!F6,'3_ROUTING_BREAKDOWN'!F6,""))),"")</f>
      </c>
      <c r="F21" s="16">
        <f>IFERROR(IF(OR('3_ROUTING_BREAKDOWN'!C6="",""),"",IF('3_ROUTING_BREAKDOWN'!I6&lt;&gt;'3_ROUTING_BREAKDOWN'!H6,'3_ROUTING_BREAKDOWN'!I6,IF('3_ROUTING_BREAKDOWN'!G6&lt;&gt;'3_ROUTING_BREAKDOWN'!F6,'3_ROUTING_BREAKDOWN'!G6,""))),"")</f>
      </c>
      <c r="G21" s="17">
        <f>IFERROR(IF(OR('3_ROUTING_BREAKDOWN'!C6="",'3_ROUTING_BREAKDOWN'!P48=""),"",'3_ROUTING_BREAKDOWN'!P48),"")</f>
      </c>
      <c r="H21" s="18">
        <f>IFERROR(IF(OR(G21="",G21&lt;=0), "", G21+(55-A21)*0.00000001), "")</f>
      </c>
    </row>
    <row r="22" spans="1:8" x14ac:dyDescent="0.25">
      <c r="A22" s="9">
        <v>19</v>
      </c>
      <c r="B22" s="9">
        <f>IFERROR(IF('3_ROUTING_BREAKDOWN'!B7="","",'3_ROUTING_BREAKDOWN'!B7),"")</f>
      </c>
      <c r="C22" s="9">
        <f>IFERROR(IF('3_ROUTING_BREAKDOWN'!C7="","",'3_ROUTING_BREAKDOWN'!C7),"")</f>
      </c>
      <c r="D22" s="9">
        <f>IFERROR(IF(OR('3_ROUTING_BREAKDOWN'!C7="",""),"",IF('3_ROUTING_BREAKDOWN'!I7&lt;'3_ROUTING_BREAKDOWN'!H7,"Yield Drop ("&amp;TEXT('3_ROUTING_BREAKDOWN'!H7,"0.0%")&amp;" ➔ "&amp;TEXT('3_ROUTING_BREAKDOWN'!I7,"0.0%")&amp;")",IF('3_ROUTING_BREAKDOWN'!I7&gt;'3_ROUTING_BREAKDOWN'!H7,"Yield Improvement ("&amp;TEXT('3_ROUTING_BREAKDOWN'!H7,"0.0%")&amp;" ➔ "&amp;TEXT('3_ROUTING_BREAKDOWN'!I7,"0.0%")&amp;")",IF('3_ROUTING_BREAKDOWN'!G7&lt;'3_ROUTING_BREAKDOWN'!F7,"Capacity Drop ("&amp;TEXT('3_ROUTING_BREAKDOWN'!F7,"#,##0")&amp;" ➔ "&amp;TEXT('3_ROUTING_BREAKDOWN'!G7,"#,##0")&amp;" Unit/hr)",IF('3_ROUTING_BREAKDOWN'!G7&gt;'3_ROUTING_BREAKDOWN'!F7,"Capacity Improvement ("&amp;TEXT('3_ROUTING_BREAKDOWN'!F7,"#,##0")&amp;" ➔ "&amp;TEXT('3_ROUTING_BREAKDOWN'!G7,"#,##0")&amp;" Unit/hr)",""))))),"")</f>
      </c>
      <c r="E22" s="16">
        <f>IFERROR(IF(OR('3_ROUTING_BREAKDOWN'!C7="",""),"",IF('3_ROUTING_BREAKDOWN'!I7&lt;&gt;'3_ROUTING_BREAKDOWN'!H7,'3_ROUTING_BREAKDOWN'!H7,IF('3_ROUTING_BREAKDOWN'!G7&lt;&gt;'3_ROUTING_BREAKDOWN'!F7,'3_ROUTING_BREAKDOWN'!F7,""))),"")</f>
      </c>
      <c r="F22" s="16">
        <f>IFERROR(IF(OR('3_ROUTING_BREAKDOWN'!C7="",""),"",IF('3_ROUTING_BREAKDOWN'!I7&lt;&gt;'3_ROUTING_BREAKDOWN'!H7,'3_ROUTING_BREAKDOWN'!I7,IF('3_ROUTING_BREAKDOWN'!G7&lt;&gt;'3_ROUTING_BREAKDOWN'!F7,'3_ROUTING_BREAKDOWN'!G7,""))),"")</f>
      </c>
      <c r="G22" s="17">
        <f>IFERROR(IF(OR('3_ROUTING_BREAKDOWN'!C7="",'3_ROUTING_BREAKDOWN'!P49=""),"",'3_ROUTING_BREAKDOWN'!P49),"")</f>
      </c>
      <c r="H22" s="18">
        <f>IFERROR(IF(OR(G22="",G22&lt;=0), "", G22+(55-A22)*0.00000001), "")</f>
      </c>
    </row>
    <row r="23" spans="1:8" x14ac:dyDescent="0.25">
      <c r="A23" s="9">
        <v>20</v>
      </c>
      <c r="B23" s="9">
        <f>IFERROR(IF('3_ROUTING_BREAKDOWN'!B8="","",'3_ROUTING_BREAKDOWN'!B8),"")</f>
      </c>
      <c r="C23" s="9">
        <f>IFERROR(IF('3_ROUTING_BREAKDOWN'!C8="","",'3_ROUTING_BREAKDOWN'!C8),"")</f>
      </c>
      <c r="D23" s="9">
        <f>IFERROR(IF(OR('3_ROUTING_BREAKDOWN'!C8="",""),"",IF('3_ROUTING_BREAKDOWN'!I8&lt;'3_ROUTING_BREAKDOWN'!H8,"Yield Drop ("&amp;TEXT('3_ROUTING_BREAKDOWN'!H8,"0.0%")&amp;" ➔ "&amp;TEXT('3_ROUTING_BREAKDOWN'!I8,"0.0%")&amp;")",IF('3_ROUTING_BREAKDOWN'!I8&gt;'3_ROUTING_BREAKDOWN'!H8,"Yield Improvement ("&amp;TEXT('3_ROUTING_BREAKDOWN'!H8,"0.0%")&amp;" ➔ "&amp;TEXT('3_ROUTING_BREAKDOWN'!I8,"0.0%")&amp;")",IF('3_ROUTING_BREAKDOWN'!G8&lt;'3_ROUTING_BREAKDOWN'!F8,"Capacity Drop ("&amp;TEXT('3_ROUTING_BREAKDOWN'!F8,"#,##0")&amp;" ➔ "&amp;TEXT('3_ROUTING_BREAKDOWN'!G8,"#,##0")&amp;" Unit/hr)",IF('3_ROUTING_BREAKDOWN'!G8&gt;'3_ROUTING_BREAKDOWN'!F8,"Capacity Improvement ("&amp;TEXT('3_ROUTING_BREAKDOWN'!F8,"#,##0")&amp;" ➔ "&amp;TEXT('3_ROUTING_BREAKDOWN'!G8,"#,##0")&amp;" Unit/hr)",""))))),"")</f>
      </c>
      <c r="E23" s="16">
        <f>IFERROR(IF(OR('3_ROUTING_BREAKDOWN'!C8="",""),"",IF('3_ROUTING_BREAKDOWN'!I8&lt;&gt;'3_ROUTING_BREAKDOWN'!H8,'3_ROUTING_BREAKDOWN'!H8,IF('3_ROUTING_BREAKDOWN'!G8&lt;&gt;'3_ROUTING_BREAKDOWN'!F8,'3_ROUTING_BREAKDOWN'!F8,""))),"")</f>
      </c>
      <c r="F23" s="16">
        <f>IFERROR(IF(OR('3_ROUTING_BREAKDOWN'!C8="",""),"",IF('3_ROUTING_BREAKDOWN'!I8&lt;&gt;'3_ROUTING_BREAKDOWN'!H8,'3_ROUTING_BREAKDOWN'!I8,IF('3_ROUTING_BREAKDOWN'!G8&lt;&gt;'3_ROUTING_BREAKDOWN'!F8,'3_ROUTING_BREAKDOWN'!G8,""))),"")</f>
      </c>
      <c r="G23" s="17">
        <f>IFERROR(IF(OR('3_ROUTING_BREAKDOWN'!C8="",'3_ROUTING_BREAKDOWN'!P50=""),"",'3_ROUTING_BREAKDOWN'!P50),"")</f>
      </c>
      <c r="H23" s="18">
        <f>IFERROR(IF(OR(G23="",G23&lt;=0), "", G23+(55-A23)*0.00000001), "")</f>
      </c>
    </row>
    <row r="24" spans="1:8" x14ac:dyDescent="0.25">
      <c r="A24" s="9">
        <v>21</v>
      </c>
      <c r="B24" s="9">
        <f>IFERROR(IF('3_ROUTING_BREAKDOWN'!B9="","",'3_ROUTING_BREAKDOWN'!B9),"")</f>
      </c>
      <c r="C24" s="9">
        <f>IFERROR(IF('3_ROUTING_BREAKDOWN'!C9="","",'3_ROUTING_BREAKDOWN'!C9),"")</f>
      </c>
      <c r="D24" s="9">
        <f>IFERROR(IF(OR('3_ROUTING_BREAKDOWN'!C9="",""),"",IF('3_ROUTING_BREAKDOWN'!I9&lt;'3_ROUTING_BREAKDOWN'!H9,"Yield Drop ("&amp;TEXT('3_ROUTING_BREAKDOWN'!H9,"0.0%")&amp;" ➔ "&amp;TEXT('3_ROUTING_BREAKDOWN'!I9,"0.0%")&amp;")",IF('3_ROUTING_BREAKDOWN'!I9&gt;'3_ROUTING_BREAKDOWN'!H9,"Yield Improvement ("&amp;TEXT('3_ROUTING_BREAKDOWN'!H9,"0.0%")&amp;" ➔ "&amp;TEXT('3_ROUTING_BREAKDOWN'!I9,"0.0%")&amp;")",IF('3_ROUTING_BREAKDOWN'!G9&lt;'3_ROUTING_BREAKDOWN'!F9,"Capacity Drop ("&amp;TEXT('3_ROUTING_BREAKDOWN'!F9,"#,##0")&amp;" ➔ "&amp;TEXT('3_ROUTING_BREAKDOWN'!G9,"#,##0")&amp;" Unit/hr)",IF('3_ROUTING_BREAKDOWN'!G9&gt;'3_ROUTING_BREAKDOWN'!F9,"Capacity Improvement ("&amp;TEXT('3_ROUTING_BREAKDOWN'!F9,"#,##0")&amp;" ➔ "&amp;TEXT('3_ROUTING_BREAKDOWN'!G9,"#,##0")&amp;" Unit/hr)",""))))),"")</f>
      </c>
      <c r="E24" s="16">
        <f>IFERROR(IF(OR('3_ROUTING_BREAKDOWN'!C9="",""),"",IF('3_ROUTING_BREAKDOWN'!I9&lt;&gt;'3_ROUTING_BREAKDOWN'!H9,'3_ROUTING_BREAKDOWN'!H9,IF('3_ROUTING_BREAKDOWN'!G9&lt;&gt;'3_ROUTING_BREAKDOWN'!F9,'3_ROUTING_BREAKDOWN'!F9,""))),"")</f>
      </c>
      <c r="F24" s="16">
        <f>IFERROR(IF(OR('3_ROUTING_BREAKDOWN'!C9="",""),"",IF('3_ROUTING_BREAKDOWN'!I9&lt;&gt;'3_ROUTING_BREAKDOWN'!H9,'3_ROUTING_BREAKDOWN'!I9,IF('3_ROUTING_BREAKDOWN'!G9&lt;&gt;'3_ROUTING_BREAKDOWN'!F9,'3_ROUTING_BREAKDOWN'!G9,""))),"")</f>
      </c>
      <c r="G24" s="17">
        <f>IFERROR(IF(OR('3_ROUTING_BREAKDOWN'!C9="",'3_ROUTING_BREAKDOWN'!P51=""),"",'3_ROUTING_BREAKDOWN'!P51),"")</f>
      </c>
      <c r="H24" s="18">
        <f>IFERROR(IF(OR(G24="",G24&lt;=0), "", G24+(55-A24)*0.00000001), "")</f>
      </c>
    </row>
    <row r="25" spans="1:8" x14ac:dyDescent="0.25">
      <c r="A25" s="9">
        <v>22</v>
      </c>
      <c r="B25" s="9">
        <f>IFERROR(IF('3_ROUTING_BREAKDOWN'!B10="","",'3_ROUTING_BREAKDOWN'!B10),"")</f>
      </c>
      <c r="C25" s="9">
        <f>IFERROR(IF('3_ROUTING_BREAKDOWN'!C10="","",'3_ROUTING_BREAKDOWN'!C10),"")</f>
      </c>
      <c r="D25" s="9">
        <f>IFERROR(IF(OR('3_ROUTING_BREAKDOWN'!C10="",""),"",IF('3_ROUTING_BREAKDOWN'!I10&lt;'3_ROUTING_BREAKDOWN'!H10,"Yield Drop ("&amp;TEXT('3_ROUTING_BREAKDOWN'!H10,"0.0%")&amp;" ➔ "&amp;TEXT('3_ROUTING_BREAKDOWN'!I10,"0.0%")&amp;")",IF('3_ROUTING_BREAKDOWN'!I10&gt;'3_ROUTING_BREAKDOWN'!H10,"Yield Improvement ("&amp;TEXT('3_ROUTING_BREAKDOWN'!H10,"0.0%")&amp;" ➔ "&amp;TEXT('3_ROUTING_BREAKDOWN'!I10,"0.0%")&amp;")",IF('3_ROUTING_BREAKDOWN'!G10&lt;'3_ROUTING_BREAKDOWN'!F10,"Capacity Drop ("&amp;TEXT('3_ROUTING_BREAKDOWN'!F10,"#,##0")&amp;" ➔ "&amp;TEXT('3_ROUTING_BREAKDOWN'!G10,"#,##0")&amp;" Unit/hr)",IF('3_ROUTING_BREAKDOWN'!G10&gt;'3_ROUTING_BREAKDOWN'!F10,"Capacity Improvement ("&amp;TEXT('3_ROUTING_BREAKDOWN'!F10,"#,##0")&amp;" ➔ "&amp;TEXT('3_ROUTING_BREAKDOWN'!G10,"#,##0")&amp;" Unit/hr)",""))))),"")</f>
      </c>
      <c r="E25" s="16">
        <f>IFERROR(IF(OR('3_ROUTING_BREAKDOWN'!C10="",""),"",IF('3_ROUTING_BREAKDOWN'!I10&lt;&gt;'3_ROUTING_BREAKDOWN'!H10,'3_ROUTING_BREAKDOWN'!H10,IF('3_ROUTING_BREAKDOWN'!G10&lt;&gt;'3_ROUTING_BREAKDOWN'!F10,'3_ROUTING_BREAKDOWN'!F10,""))),"")</f>
      </c>
      <c r="F25" s="16">
        <f>IFERROR(IF(OR('3_ROUTING_BREAKDOWN'!C10="",""),"",IF('3_ROUTING_BREAKDOWN'!I10&lt;&gt;'3_ROUTING_BREAKDOWN'!H10,'3_ROUTING_BREAKDOWN'!I10,IF('3_ROUTING_BREAKDOWN'!G10&lt;&gt;'3_ROUTING_BREAKDOWN'!F10,'3_ROUTING_BREAKDOWN'!G10,""))),"")</f>
      </c>
      <c r="G25" s="17">
        <f>IFERROR(IF(OR('3_ROUTING_BREAKDOWN'!C10="",'3_ROUTING_BREAKDOWN'!P52=""),"",'3_ROUTING_BREAKDOWN'!P52),"")</f>
      </c>
      <c r="H25" s="18">
        <f>IFERROR(IF(OR(G25="",G25&lt;=0), "", G25+(55-A25)*0.00000001), "")</f>
      </c>
    </row>
    <row r="26" spans="1:8" x14ac:dyDescent="0.25">
      <c r="A26" s="9">
        <v>23</v>
      </c>
      <c r="B26" s="9">
        <f>IFERROR(IF('3_ROUTING_BREAKDOWN'!B11="","",'3_ROUTING_BREAKDOWN'!B11),"")</f>
      </c>
      <c r="C26" s="9">
        <f>IFERROR(IF('3_ROUTING_BREAKDOWN'!C11="","",'3_ROUTING_BREAKDOWN'!C11),"")</f>
      </c>
      <c r="D26" s="9">
        <f>IFERROR(IF(OR('3_ROUTING_BREAKDOWN'!C11="",""),"",IF('3_ROUTING_BREAKDOWN'!I11&lt;'3_ROUTING_BREAKDOWN'!H11,"Yield Drop ("&amp;TEXT('3_ROUTING_BREAKDOWN'!H11,"0.0%")&amp;" ➔ "&amp;TEXT('3_ROUTING_BREAKDOWN'!I11,"0.0%")&amp;")",IF('3_ROUTING_BREAKDOWN'!I11&gt;'3_ROUTING_BREAKDOWN'!H11,"Yield Improvement ("&amp;TEXT('3_ROUTING_BREAKDOWN'!H11,"0.0%")&amp;" ➔ "&amp;TEXT('3_ROUTING_BREAKDOWN'!I11,"0.0%")&amp;")",IF('3_ROUTING_BREAKDOWN'!G11&lt;'3_ROUTING_BREAKDOWN'!F11,"Capacity Drop ("&amp;TEXT('3_ROUTING_BREAKDOWN'!F11,"#,##0")&amp;" ➔ "&amp;TEXT('3_ROUTING_BREAKDOWN'!G11,"#,##0")&amp;" Unit/hr)",IF('3_ROUTING_BREAKDOWN'!G11&gt;'3_ROUTING_BREAKDOWN'!F11,"Capacity Improvement ("&amp;TEXT('3_ROUTING_BREAKDOWN'!F11,"#,##0")&amp;" ➔ "&amp;TEXT('3_ROUTING_BREAKDOWN'!G11,"#,##0")&amp;" Unit/hr)",""))))),"")</f>
      </c>
      <c r="E26" s="16">
        <f>IFERROR(IF(OR('3_ROUTING_BREAKDOWN'!C11="",""),"",IF('3_ROUTING_BREAKDOWN'!I11&lt;&gt;'3_ROUTING_BREAKDOWN'!H11,'3_ROUTING_BREAKDOWN'!H11,IF('3_ROUTING_BREAKDOWN'!G11&lt;&gt;'3_ROUTING_BREAKDOWN'!F11,'3_ROUTING_BREAKDOWN'!F11,""))),"")</f>
      </c>
      <c r="F26" s="16">
        <f>IFERROR(IF(OR('3_ROUTING_BREAKDOWN'!C11="",""),"",IF('3_ROUTING_BREAKDOWN'!I11&lt;&gt;'3_ROUTING_BREAKDOWN'!H11,'3_ROUTING_BREAKDOWN'!I11,IF('3_ROUTING_BREAKDOWN'!G11&lt;&gt;'3_ROUTING_BREAKDOWN'!F11,'3_ROUTING_BREAKDOWN'!G11,""))),"")</f>
      </c>
      <c r="G26" s="17">
        <f>IFERROR(IF(OR('3_ROUTING_BREAKDOWN'!C11="",'3_ROUTING_BREAKDOWN'!P53=""),"",'3_ROUTING_BREAKDOWN'!P53),"")</f>
      </c>
      <c r="H26" s="18">
        <f>IFERROR(IF(OR(G26="",G26&lt;=0), "", G26+(55-A26)*0.00000001), "")</f>
      </c>
    </row>
    <row r="27" spans="1:8" x14ac:dyDescent="0.25">
      <c r="A27" s="9">
        <v>24</v>
      </c>
      <c r="B27" s="9">
        <f>IFERROR(IF('3_ROUTING_BREAKDOWN'!B12="","",'3_ROUTING_BREAKDOWN'!B12),"")</f>
      </c>
      <c r="C27" s="9">
        <f>IFERROR(IF('3_ROUTING_BREAKDOWN'!C12="","",'3_ROUTING_BREAKDOWN'!C12),"")</f>
      </c>
      <c r="D27" s="9">
        <f>IFERROR(IF(OR('3_ROUTING_BREAKDOWN'!C12="",""),"",IF('3_ROUTING_BREAKDOWN'!I12&lt;'3_ROUTING_BREAKDOWN'!H12,"Yield Drop ("&amp;TEXT('3_ROUTING_BREAKDOWN'!H12,"0.0%")&amp;" ➔ "&amp;TEXT('3_ROUTING_BREAKDOWN'!I12,"0.0%")&amp;")",IF('3_ROUTING_BREAKDOWN'!I12&gt;'3_ROUTING_BREAKDOWN'!H12,"Yield Improvement ("&amp;TEXT('3_ROUTING_BREAKDOWN'!H12,"0.0%")&amp;" ➔ "&amp;TEXT('3_ROUTING_BREAKDOWN'!I12,"0.0%")&amp;")",IF('3_ROUTING_BREAKDOWN'!G12&lt;'3_ROUTING_BREAKDOWN'!F12,"Capacity Drop ("&amp;TEXT('3_ROUTING_BREAKDOWN'!F12,"#,##0")&amp;" ➔ "&amp;TEXT('3_ROUTING_BREAKDOWN'!G12,"#,##0")&amp;" Unit/hr)",IF('3_ROUTING_BREAKDOWN'!G12&gt;'3_ROUTING_BREAKDOWN'!F12,"Capacity Improvement ("&amp;TEXT('3_ROUTING_BREAKDOWN'!F12,"#,##0")&amp;" ➔ "&amp;TEXT('3_ROUTING_BREAKDOWN'!G12,"#,##0")&amp;" Unit/hr)",""))))),"")</f>
      </c>
      <c r="E27" s="16">
        <f>IFERROR(IF(OR('3_ROUTING_BREAKDOWN'!C12="",""),"",IF('3_ROUTING_BREAKDOWN'!I12&lt;&gt;'3_ROUTING_BREAKDOWN'!H12,'3_ROUTING_BREAKDOWN'!H12,IF('3_ROUTING_BREAKDOWN'!G12&lt;&gt;'3_ROUTING_BREAKDOWN'!F12,'3_ROUTING_BREAKDOWN'!F12,""))),"")</f>
      </c>
      <c r="F27" s="16">
        <f>IFERROR(IF(OR('3_ROUTING_BREAKDOWN'!C12="",""),"",IF('3_ROUTING_BREAKDOWN'!I12&lt;&gt;'3_ROUTING_BREAKDOWN'!H12,'3_ROUTING_BREAKDOWN'!I12,IF('3_ROUTING_BREAKDOWN'!G12&lt;&gt;'3_ROUTING_BREAKDOWN'!F12,'3_ROUTING_BREAKDOWN'!G12,""))),"")</f>
      </c>
      <c r="G27" s="17">
        <f>IFERROR(IF(OR('3_ROUTING_BREAKDOWN'!C12="",'3_ROUTING_BREAKDOWN'!P54=""),"",'3_ROUTING_BREAKDOWN'!P54),"")</f>
      </c>
      <c r="H27" s="18">
        <f>IFERROR(IF(OR(G27="",G27&lt;=0), "", G27+(55-A27)*0.00000001), "")</f>
      </c>
    </row>
    <row r="28" spans="1:8" x14ac:dyDescent="0.25">
      <c r="A28" s="9">
        <v>25</v>
      </c>
      <c r="B28" s="9">
        <f>IFERROR(IF('3_ROUTING_BREAKDOWN'!B13="","",'3_ROUTING_BREAKDOWN'!B13),"")</f>
      </c>
      <c r="C28" s="9">
        <f>IFERROR(IF('3_ROUTING_BREAKDOWN'!C13="","",'3_ROUTING_BREAKDOWN'!C13),"")</f>
      </c>
      <c r="D28" s="9">
        <f>IFERROR(IF(OR('3_ROUTING_BREAKDOWN'!C13="",""),"",IF('3_ROUTING_BREAKDOWN'!I13&lt;'3_ROUTING_BREAKDOWN'!H13,"Yield Drop ("&amp;TEXT('3_ROUTING_BREAKDOWN'!H13,"0.0%")&amp;" ➔ "&amp;TEXT('3_ROUTING_BREAKDOWN'!I13,"0.0%")&amp;")",IF('3_ROUTING_BREAKDOWN'!I13&gt;'3_ROUTING_BREAKDOWN'!H13,"Yield Improvement ("&amp;TEXT('3_ROUTING_BREAKDOWN'!H13,"0.0%")&amp;" ➔ "&amp;TEXT('3_ROUTING_BREAKDOWN'!I13,"0.0%")&amp;")",IF('3_ROUTING_BREAKDOWN'!G13&lt;'3_ROUTING_BREAKDOWN'!F13,"Capacity Drop ("&amp;TEXT('3_ROUTING_BREAKDOWN'!F13,"#,##0")&amp;" ➔ "&amp;TEXT('3_ROUTING_BREAKDOWN'!G13,"#,##0")&amp;" Unit/hr)",IF('3_ROUTING_BREAKDOWN'!G13&gt;'3_ROUTING_BREAKDOWN'!F13,"Capacity Improvement ("&amp;TEXT('3_ROUTING_BREAKDOWN'!F13,"#,##0")&amp;" ➔ "&amp;TEXT('3_ROUTING_BREAKDOWN'!G13,"#,##0")&amp;" Unit/hr)",""))))),"")</f>
      </c>
      <c r="E28" s="16">
        <f>IFERROR(IF(OR('3_ROUTING_BREAKDOWN'!C13="",""),"",IF('3_ROUTING_BREAKDOWN'!I13&lt;&gt;'3_ROUTING_BREAKDOWN'!H13,'3_ROUTING_BREAKDOWN'!H13,IF('3_ROUTING_BREAKDOWN'!G13&lt;&gt;'3_ROUTING_BREAKDOWN'!F13,'3_ROUTING_BREAKDOWN'!F13,""))),"")</f>
      </c>
      <c r="F28" s="16">
        <f>IFERROR(IF(OR('3_ROUTING_BREAKDOWN'!C13="",""),"",IF('3_ROUTING_BREAKDOWN'!I13&lt;&gt;'3_ROUTING_BREAKDOWN'!H13,'3_ROUTING_BREAKDOWN'!I13,IF('3_ROUTING_BREAKDOWN'!G13&lt;&gt;'3_ROUTING_BREAKDOWN'!F13,'3_ROUTING_BREAKDOWN'!G13,""))),"")</f>
      </c>
      <c r="G28" s="17">
        <f>IFERROR(IF(OR('3_ROUTING_BREAKDOWN'!C13="",'3_ROUTING_BREAKDOWN'!P55=""),"",'3_ROUTING_BREAKDOWN'!P55),"")</f>
      </c>
      <c r="H28" s="18">
        <f>IFERROR(IF(OR(G28="",G28&lt;=0), "", G28+(55-A28)*0.00000001), "")</f>
      </c>
    </row>
    <row r="29" spans="1:8" x14ac:dyDescent="0.25">
      <c r="A29" s="9">
        <v>26</v>
      </c>
      <c r="B29" s="9">
        <f>IFERROR(IF('3_ROUTING_BREAKDOWN'!B14="","",'3_ROUTING_BREAKDOWN'!B14),"")</f>
      </c>
      <c r="C29" s="9">
        <f>IFERROR(IF('3_ROUTING_BREAKDOWN'!C14="","",'3_ROUTING_BREAKDOWN'!C14),"")</f>
      </c>
      <c r="D29" s="9">
        <f>IFERROR(IF(OR('3_ROUTING_BREAKDOWN'!C14="",""),"",IF('3_ROUTING_BREAKDOWN'!I14&lt;'3_ROUTING_BREAKDOWN'!H14,"Yield Drop ("&amp;TEXT('3_ROUTING_BREAKDOWN'!H14,"0.0%")&amp;" ➔ "&amp;TEXT('3_ROUTING_BREAKDOWN'!I14,"0.0%")&amp;")",IF('3_ROUTING_BREAKDOWN'!I14&gt;'3_ROUTING_BREAKDOWN'!H14,"Yield Improvement ("&amp;TEXT('3_ROUTING_BREAKDOWN'!H14,"0.0%")&amp;" ➔ "&amp;TEXT('3_ROUTING_BREAKDOWN'!I14,"0.0%")&amp;")",IF('3_ROUTING_BREAKDOWN'!G14&lt;'3_ROUTING_BREAKDOWN'!F14,"Capacity Drop ("&amp;TEXT('3_ROUTING_BREAKDOWN'!F14,"#,##0")&amp;" ➔ "&amp;TEXT('3_ROUTING_BREAKDOWN'!G14,"#,##0")&amp;" Unit/hr)",IF('3_ROUTING_BREAKDOWN'!G14&gt;'3_ROUTING_BREAKDOWN'!F14,"Capacity Improvement ("&amp;TEXT('3_ROUTING_BREAKDOWN'!F14,"#,##0")&amp;" ➔ "&amp;TEXT('3_ROUTING_BREAKDOWN'!G14,"#,##0")&amp;" Unit/hr)",""))))),"")</f>
      </c>
      <c r="E29" s="16">
        <f>IFERROR(IF(OR('3_ROUTING_BREAKDOWN'!C14="",""),"",IF('3_ROUTING_BREAKDOWN'!I14&lt;&gt;'3_ROUTING_BREAKDOWN'!H14,'3_ROUTING_BREAKDOWN'!H14,IF('3_ROUTING_BREAKDOWN'!G14&lt;&gt;'3_ROUTING_BREAKDOWN'!F14,'3_ROUTING_BREAKDOWN'!F14,""))),"")</f>
      </c>
      <c r="F29" s="16">
        <f>IFERROR(IF(OR('3_ROUTING_BREAKDOWN'!C14="",""),"",IF('3_ROUTING_BREAKDOWN'!I14&lt;&gt;'3_ROUTING_BREAKDOWN'!H14,'3_ROUTING_BREAKDOWN'!I14,IF('3_ROUTING_BREAKDOWN'!G14&lt;&gt;'3_ROUTING_BREAKDOWN'!F14,'3_ROUTING_BREAKDOWN'!G14,""))),"")</f>
      </c>
      <c r="G29" s="17">
        <f>IFERROR(IF(OR('3_ROUTING_BREAKDOWN'!C14="",'3_ROUTING_BREAKDOWN'!P56=""),"",'3_ROUTING_BREAKDOWN'!P56),"")</f>
      </c>
      <c r="H29" s="18">
        <f>IFERROR(IF(OR(G29="",G29&lt;=0), "", G29+(55-A29)*0.00000001), "")</f>
      </c>
    </row>
    <row r="30" spans="1:8" x14ac:dyDescent="0.25">
      <c r="A30" s="9">
        <v>27</v>
      </c>
      <c r="B30" s="9">
        <f>IFERROR(IF('3_ROUTING_BREAKDOWN'!B15="","",'3_ROUTING_BREAKDOWN'!B15),"")</f>
      </c>
      <c r="C30" s="9">
        <f>IFERROR(IF('3_ROUTING_BREAKDOWN'!C15="","",'3_ROUTING_BREAKDOWN'!C15),"")</f>
      </c>
      <c r="D30" s="9">
        <f>IFERROR(IF(OR('3_ROUTING_BREAKDOWN'!C15="",""),"",IF('3_ROUTING_BREAKDOWN'!I15&lt;'3_ROUTING_BREAKDOWN'!H15,"Yield Drop ("&amp;TEXT('3_ROUTING_BREAKDOWN'!H15,"0.0%")&amp;" ➔ "&amp;TEXT('3_ROUTING_BREAKDOWN'!I15,"0.0%")&amp;")",IF('3_ROUTING_BREAKDOWN'!I15&gt;'3_ROUTING_BREAKDOWN'!H15,"Yield Improvement ("&amp;TEXT('3_ROUTING_BREAKDOWN'!H15,"0.0%")&amp;" ➔ "&amp;TEXT('3_ROUTING_BREAKDOWN'!I15,"0.0%")&amp;")",IF('3_ROUTING_BREAKDOWN'!G15&lt;'3_ROUTING_BREAKDOWN'!F15,"Capacity Drop ("&amp;TEXT('3_ROUTING_BREAKDOWN'!F15,"#,##0")&amp;" ➔ "&amp;TEXT('3_ROUTING_BREAKDOWN'!G15,"#,##0")&amp;" Unit/hr)",IF('3_ROUTING_BREAKDOWN'!G15&gt;'3_ROUTING_BREAKDOWN'!F15,"Capacity Improvement ("&amp;TEXT('3_ROUTING_BREAKDOWN'!F15,"#,##0")&amp;" ➔ "&amp;TEXT('3_ROUTING_BREAKDOWN'!G15,"#,##0")&amp;" Unit/hr)",""))))),"")</f>
      </c>
      <c r="E30" s="16">
        <f>IFERROR(IF(OR('3_ROUTING_BREAKDOWN'!C15="",""),"",IF('3_ROUTING_BREAKDOWN'!I15&lt;&gt;'3_ROUTING_BREAKDOWN'!H15,'3_ROUTING_BREAKDOWN'!H15,IF('3_ROUTING_BREAKDOWN'!G15&lt;&gt;'3_ROUTING_BREAKDOWN'!F15,'3_ROUTING_BREAKDOWN'!F15,""))),"")</f>
      </c>
      <c r="F30" s="16">
        <f>IFERROR(IF(OR('3_ROUTING_BREAKDOWN'!C15="",""),"",IF('3_ROUTING_BREAKDOWN'!I15&lt;&gt;'3_ROUTING_BREAKDOWN'!H15,'3_ROUTING_BREAKDOWN'!I15,IF('3_ROUTING_BREAKDOWN'!G15&lt;&gt;'3_ROUTING_BREAKDOWN'!F15,'3_ROUTING_BREAKDOWN'!G15,""))),"")</f>
      </c>
      <c r="G30" s="17">
        <f>IFERROR(IF(OR('3_ROUTING_BREAKDOWN'!C15="",'3_ROUTING_BREAKDOWN'!P57=""),"",'3_ROUTING_BREAKDOWN'!P57),"")</f>
      </c>
      <c r="H30" s="18">
        <f>IFERROR(IF(OR(G30="",G30&lt;=0), "", G30+(55-A30)*0.00000001), "")</f>
      </c>
    </row>
    <row r="31" spans="1:8" x14ac:dyDescent="0.25">
      <c r="A31" s="9">
        <v>28</v>
      </c>
      <c r="B31" s="9">
        <f>IFERROR(IF('3_ROUTING_BREAKDOWN'!B16="","",'3_ROUTING_BREAKDOWN'!B16),"")</f>
      </c>
      <c r="C31" s="9">
        <f>IFERROR(IF('3_ROUTING_BREAKDOWN'!C16="","",'3_ROUTING_BREAKDOWN'!C16),"")</f>
      </c>
      <c r="D31" s="9">
        <f>IFERROR(IF(OR('3_ROUTING_BREAKDOWN'!C16="",""),"",IF('3_ROUTING_BREAKDOWN'!I16&lt;'3_ROUTING_BREAKDOWN'!H16,"Yield Drop ("&amp;TEXT('3_ROUTING_BREAKDOWN'!H16,"0.0%")&amp;" ➔ "&amp;TEXT('3_ROUTING_BREAKDOWN'!I16,"0.0%")&amp;")",IF('3_ROUTING_BREAKDOWN'!I16&gt;'3_ROUTING_BREAKDOWN'!H16,"Yield Improvement ("&amp;TEXT('3_ROUTING_BREAKDOWN'!H16,"0.0%")&amp;" ➔ "&amp;TEXT('3_ROUTING_BREAKDOWN'!I16,"0.0%")&amp;")",IF('3_ROUTING_BREAKDOWN'!G16&lt;'3_ROUTING_BREAKDOWN'!F16,"Capacity Drop ("&amp;TEXT('3_ROUTING_BREAKDOWN'!F16,"#,##0")&amp;" ➔ "&amp;TEXT('3_ROUTING_BREAKDOWN'!G16,"#,##0")&amp;" Unit/hr)",IF('3_ROUTING_BREAKDOWN'!G16&gt;'3_ROUTING_BREAKDOWN'!F16,"Capacity Improvement ("&amp;TEXT('3_ROUTING_BREAKDOWN'!F16,"#,##0")&amp;" ➔ "&amp;TEXT('3_ROUTING_BREAKDOWN'!G16,"#,##0")&amp;" Unit/hr)",""))))),"")</f>
      </c>
      <c r="E31" s="16">
        <f>IFERROR(IF(OR('3_ROUTING_BREAKDOWN'!C16="",""),"",IF('3_ROUTING_BREAKDOWN'!I16&lt;&gt;'3_ROUTING_BREAKDOWN'!H16,'3_ROUTING_BREAKDOWN'!H16,IF('3_ROUTING_BREAKDOWN'!G16&lt;&gt;'3_ROUTING_BREAKDOWN'!F16,'3_ROUTING_BREAKDOWN'!F16,""))),"")</f>
      </c>
      <c r="F31" s="16">
        <f>IFERROR(IF(OR('3_ROUTING_BREAKDOWN'!C16="",""),"",IF('3_ROUTING_BREAKDOWN'!I16&lt;&gt;'3_ROUTING_BREAKDOWN'!H16,'3_ROUTING_BREAKDOWN'!I16,IF('3_ROUTING_BREAKDOWN'!G16&lt;&gt;'3_ROUTING_BREAKDOWN'!F16,'3_ROUTING_BREAKDOWN'!G16,""))),"")</f>
      </c>
      <c r="G31" s="17">
        <f>IFERROR(IF(OR('3_ROUTING_BREAKDOWN'!C16="",'3_ROUTING_BREAKDOWN'!P58=""),"",'3_ROUTING_BREAKDOWN'!P58),"")</f>
      </c>
      <c r="H31" s="18">
        <f>IFERROR(IF(OR(G31="",G31&lt;=0), "", G31+(55-A31)*0.00000001), "")</f>
      </c>
    </row>
    <row r="32" spans="1:8" x14ac:dyDescent="0.25">
      <c r="A32" s="9">
        <v>29</v>
      </c>
      <c r="B32" s="9">
        <f>IFERROR(IF('3_ROUTING_BREAKDOWN'!B17="","",'3_ROUTING_BREAKDOWN'!B17),"")</f>
      </c>
      <c r="C32" s="9">
        <f>IFERROR(IF('3_ROUTING_BREAKDOWN'!C17="","",'3_ROUTING_BREAKDOWN'!C17),"")</f>
      </c>
      <c r="D32" s="9">
        <f>IFERROR(IF(OR('3_ROUTING_BREAKDOWN'!C17="",""),"",IF('3_ROUTING_BREAKDOWN'!I17&lt;'3_ROUTING_BREAKDOWN'!H17,"Yield Drop ("&amp;TEXT('3_ROUTING_BREAKDOWN'!H17,"0.0%")&amp;" ➔ "&amp;TEXT('3_ROUTING_BREAKDOWN'!I17,"0.0%")&amp;")",IF('3_ROUTING_BREAKDOWN'!I17&gt;'3_ROUTING_BREAKDOWN'!H17,"Yield Improvement ("&amp;TEXT('3_ROUTING_BREAKDOWN'!H17,"0.0%")&amp;" ➔ "&amp;TEXT('3_ROUTING_BREAKDOWN'!I17,"0.0%")&amp;")",IF('3_ROUTING_BREAKDOWN'!G17&lt;'3_ROUTING_BREAKDOWN'!F17,"Capacity Drop ("&amp;TEXT('3_ROUTING_BREAKDOWN'!F17,"#,##0")&amp;" ➔ "&amp;TEXT('3_ROUTING_BREAKDOWN'!G17,"#,##0")&amp;" Unit/hr)",IF('3_ROUTING_BREAKDOWN'!G17&gt;'3_ROUTING_BREAKDOWN'!F17,"Capacity Improvement ("&amp;TEXT('3_ROUTING_BREAKDOWN'!F17,"#,##0")&amp;" ➔ "&amp;TEXT('3_ROUTING_BREAKDOWN'!G17,"#,##0")&amp;" Unit/hr)",""))))),"")</f>
      </c>
      <c r="E32" s="16">
        <f>IFERROR(IF(OR('3_ROUTING_BREAKDOWN'!C17="",""),"",IF('3_ROUTING_BREAKDOWN'!I17&lt;&gt;'3_ROUTING_BREAKDOWN'!H17,'3_ROUTING_BREAKDOWN'!H17,IF('3_ROUTING_BREAKDOWN'!G17&lt;&gt;'3_ROUTING_BREAKDOWN'!F17,'3_ROUTING_BREAKDOWN'!F17,""))),"")</f>
      </c>
      <c r="F32" s="16">
        <f>IFERROR(IF(OR('3_ROUTING_BREAKDOWN'!C17="",""),"",IF('3_ROUTING_BREAKDOWN'!I17&lt;&gt;'3_ROUTING_BREAKDOWN'!H17,'3_ROUTING_BREAKDOWN'!I17,IF('3_ROUTING_BREAKDOWN'!G17&lt;&gt;'3_ROUTING_BREAKDOWN'!F17,'3_ROUTING_BREAKDOWN'!G17,""))),"")</f>
      </c>
      <c r="G32" s="17">
        <f>IFERROR(IF(OR('3_ROUTING_BREAKDOWN'!C17="",'3_ROUTING_BREAKDOWN'!P59=""),"",'3_ROUTING_BREAKDOWN'!P59),"")</f>
      </c>
      <c r="H32" s="18">
        <f>IFERROR(IF(OR(G32="",G32&lt;=0), "", G32+(55-A32)*0.00000001), "")</f>
      </c>
    </row>
    <row r="33" spans="1:8" x14ac:dyDescent="0.25">
      <c r="A33" s="9">
        <v>30</v>
      </c>
      <c r="B33" s="9">
        <f>IFERROR(IF('3_ROUTING_BREAKDOWN'!B18="","",'3_ROUTING_BREAKDOWN'!B18),"")</f>
      </c>
      <c r="C33" s="9">
        <f>IFERROR(IF('3_ROUTING_BREAKDOWN'!C18="","",'3_ROUTING_BREAKDOWN'!C18),"")</f>
      </c>
      <c r="D33" s="9">
        <f>IFERROR(IF(OR('3_ROUTING_BREAKDOWN'!C18="",""),"",IF('3_ROUTING_BREAKDOWN'!I18&lt;'3_ROUTING_BREAKDOWN'!H18,"Yield Drop ("&amp;TEXT('3_ROUTING_BREAKDOWN'!H18,"0.0%")&amp;" ➔ "&amp;TEXT('3_ROUTING_BREAKDOWN'!I18,"0.0%")&amp;")",IF('3_ROUTING_BREAKDOWN'!I18&gt;'3_ROUTING_BREAKDOWN'!H18,"Yield Improvement ("&amp;TEXT('3_ROUTING_BREAKDOWN'!H18,"0.0%")&amp;" ➔ "&amp;TEXT('3_ROUTING_BREAKDOWN'!I18,"0.0%")&amp;")",IF('3_ROUTING_BREAKDOWN'!G18&lt;'3_ROUTING_BREAKDOWN'!F18,"Capacity Drop ("&amp;TEXT('3_ROUTING_BREAKDOWN'!F18,"#,##0")&amp;" ➔ "&amp;TEXT('3_ROUTING_BREAKDOWN'!G18,"#,##0")&amp;" Unit/hr)",IF('3_ROUTING_BREAKDOWN'!G18&gt;'3_ROUTING_BREAKDOWN'!F18,"Capacity Improvement ("&amp;TEXT('3_ROUTING_BREAKDOWN'!F18,"#,##0")&amp;" ➔ "&amp;TEXT('3_ROUTING_BREAKDOWN'!G18,"#,##0")&amp;" Unit/hr)",""))))),"")</f>
      </c>
      <c r="E33" s="16">
        <f>IFERROR(IF(OR('3_ROUTING_BREAKDOWN'!C18="",""),"",IF('3_ROUTING_BREAKDOWN'!I18&lt;&gt;'3_ROUTING_BREAKDOWN'!H18,'3_ROUTING_BREAKDOWN'!H18,IF('3_ROUTING_BREAKDOWN'!G18&lt;&gt;'3_ROUTING_BREAKDOWN'!F18,'3_ROUTING_BREAKDOWN'!F18,""))),"")</f>
      </c>
      <c r="F33" s="16">
        <f>IFERROR(IF(OR('3_ROUTING_BREAKDOWN'!C18="",""),"",IF('3_ROUTING_BREAKDOWN'!I18&lt;&gt;'3_ROUTING_BREAKDOWN'!H18,'3_ROUTING_BREAKDOWN'!I18,IF('3_ROUTING_BREAKDOWN'!G18&lt;&gt;'3_ROUTING_BREAKDOWN'!F18,'3_ROUTING_BREAKDOWN'!G18,""))),"")</f>
      </c>
      <c r="G33" s="17">
        <f>IFERROR(IF(OR('3_ROUTING_BREAKDOWN'!C18="",'3_ROUTING_BREAKDOWN'!P60=""),"",'3_ROUTING_BREAKDOWN'!P60),"")</f>
      </c>
      <c r="H33" s="18">
        <f>IFERROR(IF(OR(G33="",G33&lt;=0), "", G33+(55-A33)*0.00000001), "")</f>
      </c>
    </row>
    <row r="34" spans="1:8" x14ac:dyDescent="0.25">
      <c r="A34" s="9">
        <v>31</v>
      </c>
      <c r="B34" s="9">
        <f>IFERROR(IF('3_ROUTING_BREAKDOWN'!B19="","",'3_ROUTING_BREAKDOWN'!B19),"")</f>
      </c>
      <c r="C34" s="9">
        <f>IFERROR(IF('3_ROUTING_BREAKDOWN'!C19="","",'3_ROUTING_BREAKDOWN'!C19),"")</f>
      </c>
      <c r="D34" s="9">
        <f>IFERROR(IF(OR('3_ROUTING_BREAKDOWN'!C19="",""),"",IF('3_ROUTING_BREAKDOWN'!I19&lt;'3_ROUTING_BREAKDOWN'!H19,"Yield Drop ("&amp;TEXT('3_ROUTING_BREAKDOWN'!H19,"0.0%")&amp;" ➔ "&amp;TEXT('3_ROUTING_BREAKDOWN'!I19,"0.0%")&amp;")",IF('3_ROUTING_BREAKDOWN'!I19&gt;'3_ROUTING_BREAKDOWN'!H19,"Yield Improvement ("&amp;TEXT('3_ROUTING_BREAKDOWN'!H19,"0.0%")&amp;" ➔ "&amp;TEXT('3_ROUTING_BREAKDOWN'!I19,"0.0%")&amp;")",IF('3_ROUTING_BREAKDOWN'!G19&lt;'3_ROUTING_BREAKDOWN'!F19,"Capacity Drop ("&amp;TEXT('3_ROUTING_BREAKDOWN'!F19,"#,##0")&amp;" ➔ "&amp;TEXT('3_ROUTING_BREAKDOWN'!G19,"#,##0")&amp;" Unit/hr)",IF('3_ROUTING_BREAKDOWN'!G19&gt;'3_ROUTING_BREAKDOWN'!F19,"Capacity Improvement ("&amp;TEXT('3_ROUTING_BREAKDOWN'!F19,"#,##0")&amp;" ➔ "&amp;TEXT('3_ROUTING_BREAKDOWN'!G19,"#,##0")&amp;" Unit/hr)",""))))),"")</f>
      </c>
      <c r="E34" s="16">
        <f>IFERROR(IF(OR('3_ROUTING_BREAKDOWN'!C19="",""),"",IF('3_ROUTING_BREAKDOWN'!I19&lt;&gt;'3_ROUTING_BREAKDOWN'!H19,'3_ROUTING_BREAKDOWN'!H19,IF('3_ROUTING_BREAKDOWN'!G19&lt;&gt;'3_ROUTING_BREAKDOWN'!F19,'3_ROUTING_BREAKDOWN'!F19,""))),"")</f>
      </c>
      <c r="F34" s="16">
        <f>IFERROR(IF(OR('3_ROUTING_BREAKDOWN'!C19="",""),"",IF('3_ROUTING_BREAKDOWN'!I19&lt;&gt;'3_ROUTING_BREAKDOWN'!H19,'3_ROUTING_BREAKDOWN'!I19,IF('3_ROUTING_BREAKDOWN'!G19&lt;&gt;'3_ROUTING_BREAKDOWN'!F19,'3_ROUTING_BREAKDOWN'!G19,""))),"")</f>
      </c>
      <c r="G34" s="17">
        <f>IFERROR(IF(OR('3_ROUTING_BREAKDOWN'!C19="",'3_ROUTING_BREAKDOWN'!P61=""),"",'3_ROUTING_BREAKDOWN'!P61),"")</f>
      </c>
      <c r="H34" s="18">
        <f>IFERROR(IF(OR(G34="",G34&lt;=0), "", G34+(55-A34)*0.00000001), "")</f>
      </c>
    </row>
    <row r="35" spans="1:8" x14ac:dyDescent="0.25">
      <c r="A35" s="9">
        <v>32</v>
      </c>
      <c r="B35" s="9">
        <f>IFERROR(IF('3_ROUTING_BREAKDOWN'!B20="","",'3_ROUTING_BREAKDOWN'!B20),"")</f>
      </c>
      <c r="C35" s="9">
        <f>IFERROR(IF('3_ROUTING_BREAKDOWN'!C20="","",'3_ROUTING_BREAKDOWN'!C20),"")</f>
      </c>
      <c r="D35" s="9">
        <f>IFERROR(IF(OR('3_ROUTING_BREAKDOWN'!C20="",""),"",IF('3_ROUTING_BREAKDOWN'!I20&lt;'3_ROUTING_BREAKDOWN'!H20,"Yield Drop ("&amp;TEXT('3_ROUTING_BREAKDOWN'!H20,"0.0%")&amp;" ➔ "&amp;TEXT('3_ROUTING_BREAKDOWN'!I20,"0.0%")&amp;")",IF('3_ROUTING_BREAKDOWN'!I20&gt;'3_ROUTING_BREAKDOWN'!H20,"Yield Improvement ("&amp;TEXT('3_ROUTING_BREAKDOWN'!H20,"0.0%")&amp;" ➔ "&amp;TEXT('3_ROUTING_BREAKDOWN'!I20,"0.0%")&amp;")",IF('3_ROUTING_BREAKDOWN'!G20&lt;'3_ROUTING_BREAKDOWN'!F20,"Capacity Drop ("&amp;TEXT('3_ROUTING_BREAKDOWN'!F20,"#,##0")&amp;" ➔ "&amp;TEXT('3_ROUTING_BREAKDOWN'!G20,"#,##0")&amp;" Unit/hr)",IF('3_ROUTING_BREAKDOWN'!G20&gt;'3_ROUTING_BREAKDOWN'!F20,"Capacity Improvement ("&amp;TEXT('3_ROUTING_BREAKDOWN'!F20,"#,##0")&amp;" ➔ "&amp;TEXT('3_ROUTING_BREAKDOWN'!G20,"#,##0")&amp;" Unit/hr)",""))))),"")</f>
      </c>
      <c r="E35" s="16">
        <f>IFERROR(IF(OR('3_ROUTING_BREAKDOWN'!C20="",""),"",IF('3_ROUTING_BREAKDOWN'!I20&lt;&gt;'3_ROUTING_BREAKDOWN'!H20,'3_ROUTING_BREAKDOWN'!H20,IF('3_ROUTING_BREAKDOWN'!G20&lt;&gt;'3_ROUTING_BREAKDOWN'!F20,'3_ROUTING_BREAKDOWN'!F20,""))),"")</f>
      </c>
      <c r="F35" s="16">
        <f>IFERROR(IF(OR('3_ROUTING_BREAKDOWN'!C20="",""),"",IF('3_ROUTING_BREAKDOWN'!I20&lt;&gt;'3_ROUTING_BREAKDOWN'!H20,'3_ROUTING_BREAKDOWN'!I20,IF('3_ROUTING_BREAKDOWN'!G20&lt;&gt;'3_ROUTING_BREAKDOWN'!F20,'3_ROUTING_BREAKDOWN'!G20,""))),"")</f>
      </c>
      <c r="G35" s="17">
        <f>IFERROR(IF(OR('3_ROUTING_BREAKDOWN'!C20="",'3_ROUTING_BREAKDOWN'!P62=""),"",'3_ROUTING_BREAKDOWN'!P62),"")</f>
      </c>
      <c r="H35" s="18">
        <f>IFERROR(IF(OR(G35="",G35&lt;=0), "", G35+(55-A35)*0.00000001), "")</f>
      </c>
    </row>
    <row r="36" spans="1:8" x14ac:dyDescent="0.25">
      <c r="A36" s="9">
        <v>33</v>
      </c>
      <c r="B36" s="9">
        <f>IFERROR(IF('3_ROUTING_BREAKDOWN'!B21="","",'3_ROUTING_BREAKDOWN'!B21),"")</f>
      </c>
      <c r="C36" s="9">
        <f>IFERROR(IF('3_ROUTING_BREAKDOWN'!C21="","",'3_ROUTING_BREAKDOWN'!C21),"")</f>
      </c>
      <c r="D36" s="9">
        <f>IFERROR(IF(OR('3_ROUTING_BREAKDOWN'!C21="",""),"",IF('3_ROUTING_BREAKDOWN'!I21&lt;'3_ROUTING_BREAKDOWN'!H21,"Yield Drop ("&amp;TEXT('3_ROUTING_BREAKDOWN'!H21,"0.0%")&amp;" ➔ "&amp;TEXT('3_ROUTING_BREAKDOWN'!I21,"0.0%")&amp;")",IF('3_ROUTING_BREAKDOWN'!I21&gt;'3_ROUTING_BREAKDOWN'!H21,"Yield Improvement ("&amp;TEXT('3_ROUTING_BREAKDOWN'!H21,"0.0%")&amp;" ➔ "&amp;TEXT('3_ROUTING_BREAKDOWN'!I21,"0.0%")&amp;")",IF('3_ROUTING_BREAKDOWN'!G21&lt;'3_ROUTING_BREAKDOWN'!F21,"Capacity Drop ("&amp;TEXT('3_ROUTING_BREAKDOWN'!F21,"#,##0")&amp;" ➔ "&amp;TEXT('3_ROUTING_BREAKDOWN'!G21,"#,##0")&amp;" Unit/hr)",IF('3_ROUTING_BREAKDOWN'!G21&gt;'3_ROUTING_BREAKDOWN'!F21,"Capacity Improvement ("&amp;TEXT('3_ROUTING_BREAKDOWN'!F21,"#,##0")&amp;" ➔ "&amp;TEXT('3_ROUTING_BREAKDOWN'!G21,"#,##0")&amp;" Unit/hr)",""))))),"")</f>
      </c>
      <c r="E36" s="16">
        <f>IFERROR(IF(OR('3_ROUTING_BREAKDOWN'!C21="",""),"",IF('3_ROUTING_BREAKDOWN'!I21&lt;&gt;'3_ROUTING_BREAKDOWN'!H21,'3_ROUTING_BREAKDOWN'!H21,IF('3_ROUTING_BREAKDOWN'!G21&lt;&gt;'3_ROUTING_BREAKDOWN'!F21,'3_ROUTING_BREAKDOWN'!F21,""))),"")</f>
      </c>
      <c r="F36" s="16">
        <f>IFERROR(IF(OR('3_ROUTING_BREAKDOWN'!C21="",""),"",IF('3_ROUTING_BREAKDOWN'!I21&lt;&gt;'3_ROUTING_BREAKDOWN'!H21,'3_ROUTING_BREAKDOWN'!I21,IF('3_ROUTING_BREAKDOWN'!G21&lt;&gt;'3_ROUTING_BREAKDOWN'!F21,'3_ROUTING_BREAKDOWN'!G21,""))),"")</f>
      </c>
      <c r="G36" s="17">
        <f>IFERROR(IF(OR('3_ROUTING_BREAKDOWN'!C21="",'3_ROUTING_BREAKDOWN'!P63=""),"",'3_ROUTING_BREAKDOWN'!P63),"")</f>
      </c>
      <c r="H36" s="18">
        <f>IFERROR(IF(OR(G36="",G36&lt;=0), "", G36+(55-A36)*0.00000001), "")</f>
      </c>
    </row>
    <row r="37" spans="1:8" x14ac:dyDescent="0.25">
      <c r="A37" s="9">
        <v>34</v>
      </c>
      <c r="B37" s="9">
        <f>IFERROR(IF('3_ROUTING_BREAKDOWN'!B22="","",'3_ROUTING_BREAKDOWN'!B22),"")</f>
      </c>
      <c r="C37" s="9">
        <f>IFERROR(IF('3_ROUTING_BREAKDOWN'!C22="","",'3_ROUTING_BREAKDOWN'!C22),"")</f>
      </c>
      <c r="D37" s="9">
        <f>IFERROR(IF(OR('3_ROUTING_BREAKDOWN'!C22="",""),"",IF('3_ROUTING_BREAKDOWN'!I22&lt;'3_ROUTING_BREAKDOWN'!H22,"Yield Drop ("&amp;TEXT('3_ROUTING_BREAKDOWN'!H22,"0.0%")&amp;" ➔ "&amp;TEXT('3_ROUTING_BREAKDOWN'!I22,"0.0%")&amp;")",IF('3_ROUTING_BREAKDOWN'!I22&gt;'3_ROUTING_BREAKDOWN'!H22,"Yield Improvement ("&amp;TEXT('3_ROUTING_BREAKDOWN'!H22,"0.0%")&amp;" ➔ "&amp;TEXT('3_ROUTING_BREAKDOWN'!I22,"0.0%")&amp;")",IF('3_ROUTING_BREAKDOWN'!G22&lt;'3_ROUTING_BREAKDOWN'!F22,"Capacity Drop ("&amp;TEXT('3_ROUTING_BREAKDOWN'!F22,"#,##0")&amp;" ➔ "&amp;TEXT('3_ROUTING_BREAKDOWN'!G22,"#,##0")&amp;" Unit/hr)",IF('3_ROUTING_BREAKDOWN'!G22&gt;'3_ROUTING_BREAKDOWN'!F22,"Capacity Improvement ("&amp;TEXT('3_ROUTING_BREAKDOWN'!F22,"#,##0")&amp;" ➔ "&amp;TEXT('3_ROUTING_BREAKDOWN'!G22,"#,##0")&amp;" Unit/hr)",""))))),"")</f>
      </c>
      <c r="E37" s="16">
        <f>IFERROR(IF(OR('3_ROUTING_BREAKDOWN'!C22="",""),"",IF('3_ROUTING_BREAKDOWN'!I22&lt;&gt;'3_ROUTING_BREAKDOWN'!H22,'3_ROUTING_BREAKDOWN'!H22,IF('3_ROUTING_BREAKDOWN'!G22&lt;&gt;'3_ROUTING_BREAKDOWN'!F22,'3_ROUTING_BREAKDOWN'!F22,""))),"")</f>
      </c>
      <c r="F37" s="16">
        <f>IFERROR(IF(OR('3_ROUTING_BREAKDOWN'!C22="",""),"",IF('3_ROUTING_BREAKDOWN'!I22&lt;&gt;'3_ROUTING_BREAKDOWN'!H22,'3_ROUTING_BREAKDOWN'!I22,IF('3_ROUTING_BREAKDOWN'!G22&lt;&gt;'3_ROUTING_BREAKDOWN'!F22,'3_ROUTING_BREAKDOWN'!G22,""))),"")</f>
      </c>
      <c r="G37" s="17">
        <f>IFERROR(IF(OR('3_ROUTING_BREAKDOWN'!C22="",'3_ROUTING_BREAKDOWN'!P64=""),"",'3_ROUTING_BREAKDOWN'!P64),"")</f>
      </c>
      <c r="H37" s="18">
        <f>IFERROR(IF(OR(G37="",G37&lt;=0), "", G37+(55-A37)*0.00000001), "")</f>
      </c>
    </row>
    <row r="38" spans="1:8" x14ac:dyDescent="0.25">
      <c r="A38" s="9">
        <v>35</v>
      </c>
      <c r="B38" s="9">
        <f>IFERROR(IF('3_ROUTING_BREAKDOWN'!B23="","",'3_ROUTING_BREAKDOWN'!B23),"")</f>
      </c>
      <c r="C38" s="9">
        <f>IFERROR(IF('3_ROUTING_BREAKDOWN'!C23="","",'3_ROUTING_BREAKDOWN'!C23),"")</f>
      </c>
      <c r="D38" s="9">
        <f>IFERROR(IF(OR('3_ROUTING_BREAKDOWN'!C23="",""),"",IF('3_ROUTING_BREAKDOWN'!I23&lt;'3_ROUTING_BREAKDOWN'!H23,"Yield Drop ("&amp;TEXT('3_ROUTING_BREAKDOWN'!H23,"0.0%")&amp;" ➔ "&amp;TEXT('3_ROUTING_BREAKDOWN'!I23,"0.0%")&amp;")",IF('3_ROUTING_BREAKDOWN'!I23&gt;'3_ROUTING_BREAKDOWN'!H23,"Yield Improvement ("&amp;TEXT('3_ROUTING_BREAKDOWN'!H23,"0.0%")&amp;" ➔ "&amp;TEXT('3_ROUTING_BREAKDOWN'!I23,"0.0%")&amp;")",IF('3_ROUTING_BREAKDOWN'!G23&lt;'3_ROUTING_BREAKDOWN'!F23,"Capacity Drop ("&amp;TEXT('3_ROUTING_BREAKDOWN'!F23,"#,##0")&amp;" ➔ "&amp;TEXT('3_ROUTING_BREAKDOWN'!G23,"#,##0")&amp;" Unit/hr)",IF('3_ROUTING_BREAKDOWN'!G23&gt;'3_ROUTING_BREAKDOWN'!F23,"Capacity Improvement ("&amp;TEXT('3_ROUTING_BREAKDOWN'!F23,"#,##0")&amp;" ➔ "&amp;TEXT('3_ROUTING_BREAKDOWN'!G23,"#,##0")&amp;" Unit/hr)",""))))),"")</f>
      </c>
      <c r="E38" s="16">
        <f>IFERROR(IF(OR('3_ROUTING_BREAKDOWN'!C23="",""),"",IF('3_ROUTING_BREAKDOWN'!I23&lt;&gt;'3_ROUTING_BREAKDOWN'!H23,'3_ROUTING_BREAKDOWN'!H23,IF('3_ROUTING_BREAKDOWN'!G23&lt;&gt;'3_ROUTING_BREAKDOWN'!F23,'3_ROUTING_BREAKDOWN'!F23,""))),"")</f>
      </c>
      <c r="F38" s="16">
        <f>IFERROR(IF(OR('3_ROUTING_BREAKDOWN'!C23="",""),"",IF('3_ROUTING_BREAKDOWN'!I23&lt;&gt;'3_ROUTING_BREAKDOWN'!H23,'3_ROUTING_BREAKDOWN'!I23,IF('3_ROUTING_BREAKDOWN'!G23&lt;&gt;'3_ROUTING_BREAKDOWN'!F23,'3_ROUTING_BREAKDOWN'!G23,""))),"")</f>
      </c>
      <c r="G38" s="17">
        <f>IFERROR(IF(OR('3_ROUTING_BREAKDOWN'!C23="",'3_ROUTING_BREAKDOWN'!P65=""),"",'3_ROUTING_BREAKDOWN'!P65),"")</f>
      </c>
      <c r="H38" s="18">
        <f>IFERROR(IF(OR(G38="",G38&lt;=0), "", G38+(55-A38)*0.00000001), "")</f>
      </c>
    </row>
    <row r="39" spans="1:8" x14ac:dyDescent="0.25">
      <c r="A39" s="9">
        <v>36</v>
      </c>
      <c r="B39" s="9">
        <f>IFERROR(IF('3_ROUTING_BREAKDOWN'!B24="","",'3_ROUTING_BREAKDOWN'!B24),"")</f>
      </c>
      <c r="C39" s="9">
        <f>IFERROR(IF('3_ROUTING_BREAKDOWN'!C24="","",'3_ROUTING_BREAKDOWN'!C24),"")</f>
      </c>
      <c r="D39" s="9">
        <f>IFERROR(IF(OR('3_ROUTING_BREAKDOWN'!C24="",""),"",IF('3_ROUTING_BREAKDOWN'!I24&lt;'3_ROUTING_BREAKDOWN'!H24,"Yield Drop ("&amp;TEXT('3_ROUTING_BREAKDOWN'!H24,"0.0%")&amp;" ➔ "&amp;TEXT('3_ROUTING_BREAKDOWN'!I24,"0.0%")&amp;")",IF('3_ROUTING_BREAKDOWN'!I24&gt;'3_ROUTING_BREAKDOWN'!H24,"Yield Improvement ("&amp;TEXT('3_ROUTING_BREAKDOWN'!H24,"0.0%")&amp;" ➔ "&amp;TEXT('3_ROUTING_BREAKDOWN'!I24,"0.0%")&amp;")",IF('3_ROUTING_BREAKDOWN'!G24&lt;'3_ROUTING_BREAKDOWN'!F24,"Capacity Drop ("&amp;TEXT('3_ROUTING_BREAKDOWN'!F24,"#,##0")&amp;" ➔ "&amp;TEXT('3_ROUTING_BREAKDOWN'!G24,"#,##0")&amp;" Unit/hr)",IF('3_ROUTING_BREAKDOWN'!G24&gt;'3_ROUTING_BREAKDOWN'!F24,"Capacity Improvement ("&amp;TEXT('3_ROUTING_BREAKDOWN'!F24,"#,##0")&amp;" ➔ "&amp;TEXT('3_ROUTING_BREAKDOWN'!G24,"#,##0")&amp;" Unit/hr)",""))))),"")</f>
      </c>
      <c r="E39" s="16">
        <f>IFERROR(IF(OR('3_ROUTING_BREAKDOWN'!C24="",""),"",IF('3_ROUTING_BREAKDOWN'!I24&lt;&gt;'3_ROUTING_BREAKDOWN'!H24,'3_ROUTING_BREAKDOWN'!H24,IF('3_ROUTING_BREAKDOWN'!G24&lt;&gt;'3_ROUTING_BREAKDOWN'!F24,'3_ROUTING_BREAKDOWN'!F24,""))),"")</f>
      </c>
      <c r="F39" s="16">
        <f>IFERROR(IF(OR('3_ROUTING_BREAKDOWN'!C24="",""),"",IF('3_ROUTING_BREAKDOWN'!I24&lt;&gt;'3_ROUTING_BREAKDOWN'!H24,'3_ROUTING_BREAKDOWN'!I24,IF('3_ROUTING_BREAKDOWN'!G24&lt;&gt;'3_ROUTING_BREAKDOWN'!F24,'3_ROUTING_BREAKDOWN'!G24,""))),"")</f>
      </c>
      <c r="G39" s="17">
        <f>IFERROR(IF(OR('3_ROUTING_BREAKDOWN'!C24="",'3_ROUTING_BREAKDOWN'!P66=""),"",'3_ROUTING_BREAKDOWN'!P66),"")</f>
      </c>
      <c r="H39" s="18">
        <f>IFERROR(IF(OR(G39="",G39&lt;=0), "", G39+(55-A39)*0.00000001), "")</f>
      </c>
    </row>
    <row r="40" spans="1:8" x14ac:dyDescent="0.25">
      <c r="A40" s="9">
        <v>37</v>
      </c>
      <c r="B40" s="9">
        <f>IFERROR(IF('3_ROUTING_BREAKDOWN'!B25="","",'3_ROUTING_BREAKDOWN'!B25),"")</f>
      </c>
      <c r="C40" s="9">
        <f>IFERROR(IF('3_ROUTING_BREAKDOWN'!C25="","",'3_ROUTING_BREAKDOWN'!C25),"")</f>
      </c>
      <c r="D40" s="9">
        <f>IFERROR(IF(OR('3_ROUTING_BREAKDOWN'!C25="",""),"",IF('3_ROUTING_BREAKDOWN'!I25&lt;'3_ROUTING_BREAKDOWN'!H25,"Yield Drop ("&amp;TEXT('3_ROUTING_BREAKDOWN'!H25,"0.0%")&amp;" ➔ "&amp;TEXT('3_ROUTING_BREAKDOWN'!I25,"0.0%")&amp;")",IF('3_ROUTING_BREAKDOWN'!I25&gt;'3_ROUTING_BREAKDOWN'!H25,"Yield Improvement ("&amp;TEXT('3_ROUTING_BREAKDOWN'!H25,"0.0%")&amp;" ➔ "&amp;TEXT('3_ROUTING_BREAKDOWN'!I25,"0.0%")&amp;")",IF('3_ROUTING_BREAKDOWN'!G25&lt;'3_ROUTING_BREAKDOWN'!F25,"Capacity Drop ("&amp;TEXT('3_ROUTING_BREAKDOWN'!F25,"#,##0")&amp;" ➔ "&amp;TEXT('3_ROUTING_BREAKDOWN'!G25,"#,##0")&amp;" Unit/hr)",IF('3_ROUTING_BREAKDOWN'!G25&gt;'3_ROUTING_BREAKDOWN'!F25,"Capacity Improvement ("&amp;TEXT('3_ROUTING_BREAKDOWN'!F25,"#,##0")&amp;" ➔ "&amp;TEXT('3_ROUTING_BREAKDOWN'!G25,"#,##0")&amp;" Unit/hr)",""))))),"")</f>
      </c>
      <c r="E40" s="16">
        <f>IFERROR(IF(OR('3_ROUTING_BREAKDOWN'!C25="",""),"",IF('3_ROUTING_BREAKDOWN'!I25&lt;&gt;'3_ROUTING_BREAKDOWN'!H25,'3_ROUTING_BREAKDOWN'!H25,IF('3_ROUTING_BREAKDOWN'!G25&lt;&gt;'3_ROUTING_BREAKDOWN'!F25,'3_ROUTING_BREAKDOWN'!F25,""))),"")</f>
      </c>
      <c r="F40" s="16">
        <f>IFERROR(IF(OR('3_ROUTING_BREAKDOWN'!C25="",""),"",IF('3_ROUTING_BREAKDOWN'!I25&lt;&gt;'3_ROUTING_BREAKDOWN'!H25,'3_ROUTING_BREAKDOWN'!I25,IF('3_ROUTING_BREAKDOWN'!G25&lt;&gt;'3_ROUTING_BREAKDOWN'!F25,'3_ROUTING_BREAKDOWN'!G25,""))),"")</f>
      </c>
      <c r="G40" s="17">
        <f>IFERROR(IF(OR('3_ROUTING_BREAKDOWN'!C25="",'3_ROUTING_BREAKDOWN'!P67=""),"",'3_ROUTING_BREAKDOWN'!P67),"")</f>
      </c>
      <c r="H40" s="18">
        <f>IFERROR(IF(OR(G40="",G40&lt;=0), "", G40+(55-A40)*0.00000001), "")</f>
      </c>
    </row>
    <row r="41" spans="1:8" x14ac:dyDescent="0.25">
      <c r="A41" s="9">
        <v>38</v>
      </c>
      <c r="B41" s="9">
        <f>IFERROR(IF('3_ROUTING_BREAKDOWN'!B26="","",'3_ROUTING_BREAKDOWN'!B26),"")</f>
      </c>
      <c r="C41" s="9">
        <f>IFERROR(IF('3_ROUTING_BREAKDOWN'!C26="","",'3_ROUTING_BREAKDOWN'!C26),"")</f>
      </c>
      <c r="D41" s="9">
        <f>IFERROR(IF(OR('3_ROUTING_BREAKDOWN'!C26="",""),"",IF('3_ROUTING_BREAKDOWN'!I26&lt;'3_ROUTING_BREAKDOWN'!H26,"Yield Drop ("&amp;TEXT('3_ROUTING_BREAKDOWN'!H26,"0.0%")&amp;" ➔ "&amp;TEXT('3_ROUTING_BREAKDOWN'!I26,"0.0%")&amp;")",IF('3_ROUTING_BREAKDOWN'!I26&gt;'3_ROUTING_BREAKDOWN'!H26,"Yield Improvement ("&amp;TEXT('3_ROUTING_BREAKDOWN'!H26,"0.0%")&amp;" ➔ "&amp;TEXT('3_ROUTING_BREAKDOWN'!I26,"0.0%")&amp;")",IF('3_ROUTING_BREAKDOWN'!G26&lt;'3_ROUTING_BREAKDOWN'!F26,"Capacity Drop ("&amp;TEXT('3_ROUTING_BREAKDOWN'!F26,"#,##0")&amp;" ➔ "&amp;TEXT('3_ROUTING_BREAKDOWN'!G26,"#,##0")&amp;" Unit/hr)",IF('3_ROUTING_BREAKDOWN'!G26&gt;'3_ROUTING_BREAKDOWN'!F26,"Capacity Improvement ("&amp;TEXT('3_ROUTING_BREAKDOWN'!F26,"#,##0")&amp;" ➔ "&amp;TEXT('3_ROUTING_BREAKDOWN'!G26,"#,##0")&amp;" Unit/hr)",""))))),"")</f>
      </c>
      <c r="E41" s="16">
        <f>IFERROR(IF(OR('3_ROUTING_BREAKDOWN'!C26="",""),"",IF('3_ROUTING_BREAKDOWN'!I26&lt;&gt;'3_ROUTING_BREAKDOWN'!H26,'3_ROUTING_BREAKDOWN'!H26,IF('3_ROUTING_BREAKDOWN'!G26&lt;&gt;'3_ROUTING_BREAKDOWN'!F26,'3_ROUTING_BREAKDOWN'!F26,""))),"")</f>
      </c>
      <c r="F41" s="16">
        <f>IFERROR(IF(OR('3_ROUTING_BREAKDOWN'!C26="",""),"",IF('3_ROUTING_BREAKDOWN'!I26&lt;&gt;'3_ROUTING_BREAKDOWN'!H26,'3_ROUTING_BREAKDOWN'!I26,IF('3_ROUTING_BREAKDOWN'!G26&lt;&gt;'3_ROUTING_BREAKDOWN'!F26,'3_ROUTING_BREAKDOWN'!G26,""))),"")</f>
      </c>
      <c r="G41" s="17">
        <f>IFERROR(IF(OR('3_ROUTING_BREAKDOWN'!C26="",'3_ROUTING_BREAKDOWN'!P68=""),"",'3_ROUTING_BREAKDOWN'!P68),"")</f>
      </c>
      <c r="H41" s="18">
        <f>IFERROR(IF(OR(G41="",G41&lt;=0), "", G41+(55-A41)*0.00000001), "")</f>
      </c>
    </row>
    <row r="42" spans="1:8" x14ac:dyDescent="0.25">
      <c r="A42" s="9">
        <v>39</v>
      </c>
      <c r="B42" s="9">
        <f>IFERROR(IF('3_ROUTING_BREAKDOWN'!B27="","",'3_ROUTING_BREAKDOWN'!B27),"")</f>
      </c>
      <c r="C42" s="9">
        <f>IFERROR(IF('3_ROUTING_BREAKDOWN'!C27="","",'3_ROUTING_BREAKDOWN'!C27),"")</f>
      </c>
      <c r="D42" s="9">
        <f>IFERROR(IF(OR('3_ROUTING_BREAKDOWN'!C27="",""),"",IF('3_ROUTING_BREAKDOWN'!I27&lt;'3_ROUTING_BREAKDOWN'!H27,"Yield Drop ("&amp;TEXT('3_ROUTING_BREAKDOWN'!H27,"0.0%")&amp;" ➔ "&amp;TEXT('3_ROUTING_BREAKDOWN'!I27,"0.0%")&amp;")",IF('3_ROUTING_BREAKDOWN'!I27&gt;'3_ROUTING_BREAKDOWN'!H27,"Yield Improvement ("&amp;TEXT('3_ROUTING_BREAKDOWN'!H27,"0.0%")&amp;" ➔ "&amp;TEXT('3_ROUTING_BREAKDOWN'!I27,"0.0%")&amp;")",IF('3_ROUTING_BREAKDOWN'!G27&lt;'3_ROUTING_BREAKDOWN'!F27,"Capacity Drop ("&amp;TEXT('3_ROUTING_BREAKDOWN'!F27,"#,##0")&amp;" ➔ "&amp;TEXT('3_ROUTING_BREAKDOWN'!G27,"#,##0")&amp;" Unit/hr)",IF('3_ROUTING_BREAKDOWN'!G27&gt;'3_ROUTING_BREAKDOWN'!F27,"Capacity Improvement ("&amp;TEXT('3_ROUTING_BREAKDOWN'!F27,"#,##0")&amp;" ➔ "&amp;TEXT('3_ROUTING_BREAKDOWN'!G27,"#,##0")&amp;" Unit/hr)",""))))),"")</f>
      </c>
      <c r="E42" s="16">
        <f>IFERROR(IF(OR('3_ROUTING_BREAKDOWN'!C27="",""),"",IF('3_ROUTING_BREAKDOWN'!I27&lt;&gt;'3_ROUTING_BREAKDOWN'!H27,'3_ROUTING_BREAKDOWN'!H27,IF('3_ROUTING_BREAKDOWN'!G27&lt;&gt;'3_ROUTING_BREAKDOWN'!F27,'3_ROUTING_BREAKDOWN'!F27,""))),"")</f>
      </c>
      <c r="F42" s="16">
        <f>IFERROR(IF(OR('3_ROUTING_BREAKDOWN'!C27="",""),"",IF('3_ROUTING_BREAKDOWN'!I27&lt;&gt;'3_ROUTING_BREAKDOWN'!H27,'3_ROUTING_BREAKDOWN'!I27,IF('3_ROUTING_BREAKDOWN'!G27&lt;&gt;'3_ROUTING_BREAKDOWN'!F27,'3_ROUTING_BREAKDOWN'!G27,""))),"")</f>
      </c>
      <c r="G42" s="17">
        <f>IFERROR(IF(OR('3_ROUTING_BREAKDOWN'!C27="",'3_ROUTING_BREAKDOWN'!P69=""),"",'3_ROUTING_BREAKDOWN'!P69),"")</f>
      </c>
      <c r="H42" s="18">
        <f>IFERROR(IF(OR(G42="",G42&lt;=0), "", G42+(55-A42)*0.00000001), "")</f>
      </c>
    </row>
    <row r="43" spans="1:8" x14ac:dyDescent="0.25">
      <c r="A43" s="9">
        <v>40</v>
      </c>
      <c r="B43" s="9">
        <f>IFERROR(IF('3_ROUTING_BREAKDOWN'!B28="","",'3_ROUTING_BREAKDOWN'!B28),"")</f>
      </c>
      <c r="C43" s="9">
        <f>IFERROR(IF('3_ROUTING_BREAKDOWN'!C28="","",'3_ROUTING_BREAKDOWN'!C28),"")</f>
      </c>
      <c r="D43" s="9">
        <f>IFERROR(IF(OR('3_ROUTING_BREAKDOWN'!C28="",""),"",IF('3_ROUTING_BREAKDOWN'!I28&lt;'3_ROUTING_BREAKDOWN'!H28,"Yield Drop ("&amp;TEXT('3_ROUTING_BREAKDOWN'!H28,"0.0%")&amp;" ➔ "&amp;TEXT('3_ROUTING_BREAKDOWN'!I28,"0.0%")&amp;")",IF('3_ROUTING_BREAKDOWN'!I28&gt;'3_ROUTING_BREAKDOWN'!H28,"Yield Improvement ("&amp;TEXT('3_ROUTING_BREAKDOWN'!H28,"0.0%")&amp;" ➔ "&amp;TEXT('3_ROUTING_BREAKDOWN'!I28,"0.0%")&amp;")",IF('3_ROUTING_BREAKDOWN'!G28&lt;'3_ROUTING_BREAKDOWN'!F28,"Capacity Drop ("&amp;TEXT('3_ROUTING_BREAKDOWN'!F28,"#,##0")&amp;" ➔ "&amp;TEXT('3_ROUTING_BREAKDOWN'!G28,"#,##0")&amp;" Unit/hr)",IF('3_ROUTING_BREAKDOWN'!G28&gt;'3_ROUTING_BREAKDOWN'!F28,"Capacity Improvement ("&amp;TEXT('3_ROUTING_BREAKDOWN'!F28,"#,##0")&amp;" ➔ "&amp;TEXT('3_ROUTING_BREAKDOWN'!G28,"#,##0")&amp;" Unit/hr)",""))))),"")</f>
      </c>
      <c r="E43" s="16">
        <f>IFERROR(IF(OR('3_ROUTING_BREAKDOWN'!C28="",""),"",IF('3_ROUTING_BREAKDOWN'!I28&lt;&gt;'3_ROUTING_BREAKDOWN'!H28,'3_ROUTING_BREAKDOWN'!H28,IF('3_ROUTING_BREAKDOWN'!G28&lt;&gt;'3_ROUTING_BREAKDOWN'!F28,'3_ROUTING_BREAKDOWN'!F28,""))),"")</f>
      </c>
      <c r="F43" s="16">
        <f>IFERROR(IF(OR('3_ROUTING_BREAKDOWN'!C28="",""),"",IF('3_ROUTING_BREAKDOWN'!I28&lt;&gt;'3_ROUTING_BREAKDOWN'!H28,'3_ROUTING_BREAKDOWN'!I28,IF('3_ROUTING_BREAKDOWN'!G28&lt;&gt;'3_ROUTING_BREAKDOWN'!F28,'3_ROUTING_BREAKDOWN'!G28,""))),"")</f>
      </c>
      <c r="G43" s="17">
        <f>IFERROR(IF(OR('3_ROUTING_BREAKDOWN'!C28="",'3_ROUTING_BREAKDOWN'!P70=""),"",'3_ROUTING_BREAKDOWN'!P70),"")</f>
      </c>
      <c r="H43" s="18">
        <f>IFERROR(IF(OR(G43="",G43&lt;=0), "", G43+(55-A43)*0.00000001), "")</f>
      </c>
    </row>
    <row r="44" spans="1:8" x14ac:dyDescent="0.25">
      <c r="A44" s="9">
        <v>41</v>
      </c>
      <c r="B44" s="9">
        <f>IFERROR(IF('3_ROUTING_BREAKDOWN'!B29="","",'3_ROUTING_BREAKDOWN'!B29),"")</f>
      </c>
      <c r="C44" s="9">
        <f>IFERROR(IF('3_ROUTING_BREAKDOWN'!C29="","",'3_ROUTING_BREAKDOWN'!C29),"")</f>
      </c>
      <c r="D44" s="9">
        <f>IFERROR(IF(OR('3_ROUTING_BREAKDOWN'!C29="",""),"",IF('3_ROUTING_BREAKDOWN'!I29&lt;'3_ROUTING_BREAKDOWN'!H29,"Yield Drop ("&amp;TEXT('3_ROUTING_BREAKDOWN'!H29,"0.0%")&amp;" ➔ "&amp;TEXT('3_ROUTING_BREAKDOWN'!I29,"0.0%")&amp;")",IF('3_ROUTING_BREAKDOWN'!I29&gt;'3_ROUTING_BREAKDOWN'!H29,"Yield Improvement ("&amp;TEXT('3_ROUTING_BREAKDOWN'!H29,"0.0%")&amp;" ➔ "&amp;TEXT('3_ROUTING_BREAKDOWN'!I29,"0.0%")&amp;")",IF('3_ROUTING_BREAKDOWN'!G29&lt;'3_ROUTING_BREAKDOWN'!F29,"Capacity Drop ("&amp;TEXT('3_ROUTING_BREAKDOWN'!F29,"#,##0")&amp;" ➔ "&amp;TEXT('3_ROUTING_BREAKDOWN'!G29,"#,##0")&amp;" Unit/hr)",IF('3_ROUTING_BREAKDOWN'!G29&gt;'3_ROUTING_BREAKDOWN'!F29,"Capacity Improvement ("&amp;TEXT('3_ROUTING_BREAKDOWN'!F29,"#,##0")&amp;" ➔ "&amp;TEXT('3_ROUTING_BREAKDOWN'!G29,"#,##0")&amp;" Unit/hr)",""))))),"")</f>
      </c>
      <c r="E44" s="16">
        <f>IFERROR(IF(OR('3_ROUTING_BREAKDOWN'!C29="",""),"",IF('3_ROUTING_BREAKDOWN'!I29&lt;&gt;'3_ROUTING_BREAKDOWN'!H29,'3_ROUTING_BREAKDOWN'!H29,IF('3_ROUTING_BREAKDOWN'!G29&lt;&gt;'3_ROUTING_BREAKDOWN'!F29,'3_ROUTING_BREAKDOWN'!F29,""))),"")</f>
      </c>
      <c r="F44" s="16">
        <f>IFERROR(IF(OR('3_ROUTING_BREAKDOWN'!C29="",""),"",IF('3_ROUTING_BREAKDOWN'!I29&lt;&gt;'3_ROUTING_BREAKDOWN'!H29,'3_ROUTING_BREAKDOWN'!I29,IF('3_ROUTING_BREAKDOWN'!G29&lt;&gt;'3_ROUTING_BREAKDOWN'!F29,'3_ROUTING_BREAKDOWN'!G29,""))),"")</f>
      </c>
      <c r="G44" s="17">
        <f>IFERROR(IF(OR('3_ROUTING_BREAKDOWN'!C29="",'3_ROUTING_BREAKDOWN'!P71=""),"",'3_ROUTING_BREAKDOWN'!P71),"")</f>
      </c>
      <c r="H44" s="18">
        <f>IFERROR(IF(OR(G44="",G44&lt;=0), "", G44+(55-A44)*0.00000001), "")</f>
      </c>
    </row>
    <row r="45" spans="1:8" x14ac:dyDescent="0.25">
      <c r="A45" s="9">
        <v>42</v>
      </c>
      <c r="B45" s="9">
        <f>IFERROR(IF('3_ROUTING_BREAKDOWN'!B30="","",'3_ROUTING_BREAKDOWN'!B30),"")</f>
      </c>
      <c r="C45" s="9">
        <f>IFERROR(IF('3_ROUTING_BREAKDOWN'!C30="","",'3_ROUTING_BREAKDOWN'!C30),"")</f>
      </c>
      <c r="D45" s="9">
        <f>IFERROR(IF(OR('3_ROUTING_BREAKDOWN'!C30="",""),"",IF('3_ROUTING_BREAKDOWN'!I30&lt;'3_ROUTING_BREAKDOWN'!H30,"Yield Drop ("&amp;TEXT('3_ROUTING_BREAKDOWN'!H30,"0.0%")&amp;" ➔ "&amp;TEXT('3_ROUTING_BREAKDOWN'!I30,"0.0%")&amp;")",IF('3_ROUTING_BREAKDOWN'!I30&gt;'3_ROUTING_BREAKDOWN'!H30,"Yield Improvement ("&amp;TEXT('3_ROUTING_BREAKDOWN'!H30,"0.0%")&amp;" ➔ "&amp;TEXT('3_ROUTING_BREAKDOWN'!I30,"0.0%")&amp;")",IF('3_ROUTING_BREAKDOWN'!G30&lt;'3_ROUTING_BREAKDOWN'!F30,"Capacity Drop ("&amp;TEXT('3_ROUTING_BREAKDOWN'!F30,"#,##0")&amp;" ➔ "&amp;TEXT('3_ROUTING_BREAKDOWN'!G30,"#,##0")&amp;" Unit/hr)",IF('3_ROUTING_BREAKDOWN'!G30&gt;'3_ROUTING_BREAKDOWN'!F30,"Capacity Improvement ("&amp;TEXT('3_ROUTING_BREAKDOWN'!F30,"#,##0")&amp;" ➔ "&amp;TEXT('3_ROUTING_BREAKDOWN'!G30,"#,##0")&amp;" Unit/hr)",""))))),"")</f>
      </c>
      <c r="E45" s="16">
        <f>IFERROR(IF(OR('3_ROUTING_BREAKDOWN'!C30="",""),"",IF('3_ROUTING_BREAKDOWN'!I30&lt;&gt;'3_ROUTING_BREAKDOWN'!H30,'3_ROUTING_BREAKDOWN'!H30,IF('3_ROUTING_BREAKDOWN'!G30&lt;&gt;'3_ROUTING_BREAKDOWN'!F30,'3_ROUTING_BREAKDOWN'!F30,""))),"")</f>
      </c>
      <c r="F45" s="16">
        <f>IFERROR(IF(OR('3_ROUTING_BREAKDOWN'!C30="",""),"",IF('3_ROUTING_BREAKDOWN'!I30&lt;&gt;'3_ROUTING_BREAKDOWN'!H30,'3_ROUTING_BREAKDOWN'!I30,IF('3_ROUTING_BREAKDOWN'!G30&lt;&gt;'3_ROUTING_BREAKDOWN'!F30,'3_ROUTING_BREAKDOWN'!G30,""))),"")</f>
      </c>
      <c r="G45" s="17">
        <f>IFERROR(IF(OR('3_ROUTING_BREAKDOWN'!C30="",'3_ROUTING_BREAKDOWN'!P72=""),"",'3_ROUTING_BREAKDOWN'!P72),"")</f>
      </c>
      <c r="H45" s="18">
        <f>IFERROR(IF(OR(G45="",G45&lt;=0), "", G45+(55-A45)*0.00000001), "")</f>
      </c>
    </row>
    <row r="46" spans="1:8" x14ac:dyDescent="0.25">
      <c r="A46" s="9">
        <v>43</v>
      </c>
      <c r="B46" s="9">
        <f>IFERROR(IF('3_ROUTING_BREAKDOWN'!B31="","",'3_ROUTING_BREAKDOWN'!B31),"")</f>
      </c>
      <c r="C46" s="9">
        <f>IFERROR(IF('3_ROUTING_BREAKDOWN'!C31="","",'3_ROUTING_BREAKDOWN'!C31),"")</f>
      </c>
      <c r="D46" s="9">
        <f>IFERROR(IF(OR('3_ROUTING_BREAKDOWN'!C31="",""),"",IF('3_ROUTING_BREAKDOWN'!I31&lt;'3_ROUTING_BREAKDOWN'!H31,"Yield Drop ("&amp;TEXT('3_ROUTING_BREAKDOWN'!H31,"0.0%")&amp;" ➔ "&amp;TEXT('3_ROUTING_BREAKDOWN'!I31,"0.0%")&amp;")",IF('3_ROUTING_BREAKDOWN'!I31&gt;'3_ROUTING_BREAKDOWN'!H31,"Yield Improvement ("&amp;TEXT('3_ROUTING_BREAKDOWN'!H31,"0.0%")&amp;" ➔ "&amp;TEXT('3_ROUTING_BREAKDOWN'!I31,"0.0%")&amp;")",IF('3_ROUTING_BREAKDOWN'!G31&lt;'3_ROUTING_BREAKDOWN'!F31,"Capacity Drop ("&amp;TEXT('3_ROUTING_BREAKDOWN'!F31,"#,##0")&amp;" ➔ "&amp;TEXT('3_ROUTING_BREAKDOWN'!G31,"#,##0")&amp;" Unit/hr)",IF('3_ROUTING_BREAKDOWN'!G31&gt;'3_ROUTING_BREAKDOWN'!F31,"Capacity Improvement ("&amp;TEXT('3_ROUTING_BREAKDOWN'!F31,"#,##0")&amp;" ➔ "&amp;TEXT('3_ROUTING_BREAKDOWN'!G31,"#,##0")&amp;" Unit/hr)",""))))),"")</f>
      </c>
      <c r="E46" s="16">
        <f>IFERROR(IF(OR('3_ROUTING_BREAKDOWN'!C31="",""),"",IF('3_ROUTING_BREAKDOWN'!I31&lt;&gt;'3_ROUTING_BREAKDOWN'!H31,'3_ROUTING_BREAKDOWN'!H31,IF('3_ROUTING_BREAKDOWN'!G31&lt;&gt;'3_ROUTING_BREAKDOWN'!F31,'3_ROUTING_BREAKDOWN'!F31,""))),"")</f>
      </c>
      <c r="F46" s="16">
        <f>IFERROR(IF(OR('3_ROUTING_BREAKDOWN'!C31="",""),"",IF('3_ROUTING_BREAKDOWN'!I31&lt;&gt;'3_ROUTING_BREAKDOWN'!H31,'3_ROUTING_BREAKDOWN'!I31,IF('3_ROUTING_BREAKDOWN'!G31&lt;&gt;'3_ROUTING_BREAKDOWN'!F31,'3_ROUTING_BREAKDOWN'!G31,""))),"")</f>
      </c>
      <c r="G46" s="17">
        <f>IFERROR(IF(OR('3_ROUTING_BREAKDOWN'!C31="",'3_ROUTING_BREAKDOWN'!P73=""),"",'3_ROUTING_BREAKDOWN'!P73),"")</f>
      </c>
      <c r="H46" s="18">
        <f>IFERROR(IF(OR(G46="",G46&lt;=0), "", G46+(55-A46)*0.00000001), "")</f>
      </c>
    </row>
    <row r="47" spans="1:8" x14ac:dyDescent="0.25">
      <c r="A47" s="9">
        <v>44</v>
      </c>
      <c r="B47" s="9">
        <f>IFERROR(IF('3_ROUTING_BREAKDOWN'!B32="","",'3_ROUTING_BREAKDOWN'!B32),"")</f>
      </c>
      <c r="C47" s="9">
        <f>IFERROR(IF('3_ROUTING_BREAKDOWN'!C32="","",'3_ROUTING_BREAKDOWN'!C32),"")</f>
      </c>
      <c r="D47" s="9">
        <f>IFERROR(IF(OR('3_ROUTING_BREAKDOWN'!C32="",""),"",IF('3_ROUTING_BREAKDOWN'!I32&lt;'3_ROUTING_BREAKDOWN'!H32,"Yield Drop ("&amp;TEXT('3_ROUTING_BREAKDOWN'!H32,"0.0%")&amp;" ➔ "&amp;TEXT('3_ROUTING_BREAKDOWN'!I32,"0.0%")&amp;")",IF('3_ROUTING_BREAKDOWN'!I32&gt;'3_ROUTING_BREAKDOWN'!H32,"Yield Improvement ("&amp;TEXT('3_ROUTING_BREAKDOWN'!H32,"0.0%")&amp;" ➔ "&amp;TEXT('3_ROUTING_BREAKDOWN'!I32,"0.0%")&amp;")",IF('3_ROUTING_BREAKDOWN'!G32&lt;'3_ROUTING_BREAKDOWN'!F32,"Capacity Drop ("&amp;TEXT('3_ROUTING_BREAKDOWN'!F32,"#,##0")&amp;" ➔ "&amp;TEXT('3_ROUTING_BREAKDOWN'!G32,"#,##0")&amp;" Unit/hr)",IF('3_ROUTING_BREAKDOWN'!G32&gt;'3_ROUTING_BREAKDOWN'!F32,"Capacity Improvement ("&amp;TEXT('3_ROUTING_BREAKDOWN'!F32,"#,##0")&amp;" ➔ "&amp;TEXT('3_ROUTING_BREAKDOWN'!G32,"#,##0")&amp;" Unit/hr)",""))))),"")</f>
      </c>
      <c r="E47" s="16">
        <f>IFERROR(IF(OR('3_ROUTING_BREAKDOWN'!C32="",""),"",IF('3_ROUTING_BREAKDOWN'!I32&lt;&gt;'3_ROUTING_BREAKDOWN'!H32,'3_ROUTING_BREAKDOWN'!H32,IF('3_ROUTING_BREAKDOWN'!G32&lt;&gt;'3_ROUTING_BREAKDOWN'!F32,'3_ROUTING_BREAKDOWN'!F32,""))),"")</f>
      </c>
      <c r="F47" s="16">
        <f>IFERROR(IF(OR('3_ROUTING_BREAKDOWN'!C32="",""),"",IF('3_ROUTING_BREAKDOWN'!I32&lt;&gt;'3_ROUTING_BREAKDOWN'!H32,'3_ROUTING_BREAKDOWN'!I32,IF('3_ROUTING_BREAKDOWN'!G32&lt;&gt;'3_ROUTING_BREAKDOWN'!F32,'3_ROUTING_BREAKDOWN'!G32,""))),"")</f>
      </c>
      <c r="G47" s="17">
        <f>IFERROR(IF(OR('3_ROUTING_BREAKDOWN'!C32="",'3_ROUTING_BREAKDOWN'!P74=""),"",'3_ROUTING_BREAKDOWN'!P74),"")</f>
      </c>
      <c r="H47" s="18">
        <f>IFERROR(IF(OR(G47="",G47&lt;=0), "", G47+(55-A47)*0.00000001), "")</f>
      </c>
    </row>
    <row r="48" spans="1:8" x14ac:dyDescent="0.25">
      <c r="A48" s="9">
        <v>45</v>
      </c>
      <c r="B48" s="9">
        <f>IFERROR(IF('3_ROUTING_BREAKDOWN'!B33="","",'3_ROUTING_BREAKDOWN'!B33),"")</f>
      </c>
      <c r="C48" s="9">
        <f>IFERROR(IF('3_ROUTING_BREAKDOWN'!C33="","",'3_ROUTING_BREAKDOWN'!C33),"")</f>
      </c>
      <c r="D48" s="9">
        <f>IFERROR(IF(OR('3_ROUTING_BREAKDOWN'!C33="",""),"",IF('3_ROUTING_BREAKDOWN'!I33&lt;'3_ROUTING_BREAKDOWN'!H33,"Yield Drop ("&amp;TEXT('3_ROUTING_BREAKDOWN'!H33,"0.0%")&amp;" ➔ "&amp;TEXT('3_ROUTING_BREAKDOWN'!I33,"0.0%")&amp;")",IF('3_ROUTING_BREAKDOWN'!I33&gt;'3_ROUTING_BREAKDOWN'!H33,"Yield Improvement ("&amp;TEXT('3_ROUTING_BREAKDOWN'!H33,"0.0%")&amp;" ➔ "&amp;TEXT('3_ROUTING_BREAKDOWN'!I33,"0.0%")&amp;")",IF('3_ROUTING_BREAKDOWN'!G33&lt;'3_ROUTING_BREAKDOWN'!F33,"Capacity Drop ("&amp;TEXT('3_ROUTING_BREAKDOWN'!F33,"#,##0")&amp;" ➔ "&amp;TEXT('3_ROUTING_BREAKDOWN'!G33,"#,##0")&amp;" Unit/hr)",IF('3_ROUTING_BREAKDOWN'!G33&gt;'3_ROUTING_BREAKDOWN'!F33,"Capacity Improvement ("&amp;TEXT('3_ROUTING_BREAKDOWN'!F33,"#,##0")&amp;" ➔ "&amp;TEXT('3_ROUTING_BREAKDOWN'!G33,"#,##0")&amp;" Unit/hr)",""))))),"")</f>
      </c>
      <c r="E48" s="16">
        <f>IFERROR(IF(OR('3_ROUTING_BREAKDOWN'!C33="",""),"",IF('3_ROUTING_BREAKDOWN'!I33&lt;&gt;'3_ROUTING_BREAKDOWN'!H33,'3_ROUTING_BREAKDOWN'!H33,IF('3_ROUTING_BREAKDOWN'!G33&lt;&gt;'3_ROUTING_BREAKDOWN'!F33,'3_ROUTING_BREAKDOWN'!F33,""))),"")</f>
      </c>
      <c r="F48" s="16">
        <f>IFERROR(IF(OR('3_ROUTING_BREAKDOWN'!C33="",""),"",IF('3_ROUTING_BREAKDOWN'!I33&lt;&gt;'3_ROUTING_BREAKDOWN'!H33,'3_ROUTING_BREAKDOWN'!I33,IF('3_ROUTING_BREAKDOWN'!G33&lt;&gt;'3_ROUTING_BREAKDOWN'!F33,'3_ROUTING_BREAKDOWN'!G33,""))),"")</f>
      </c>
      <c r="G48" s="17">
        <f>IFERROR(IF(OR('3_ROUTING_BREAKDOWN'!C33="",'3_ROUTING_BREAKDOWN'!P75=""),"",'3_ROUTING_BREAKDOWN'!P75),"")</f>
      </c>
      <c r="H48" s="18">
        <f>IFERROR(IF(OR(G48="",G48&lt;=0), "", G48+(55-A48)*0.00000001), "")</f>
      </c>
    </row>
    <row r="49" spans="1:8" x14ac:dyDescent="0.25">
      <c r="A49" s="9">
        <v>46</v>
      </c>
      <c r="B49" s="9">
        <f>IFERROR(IF('3_ROUTING_BREAKDOWN'!B34="","",'3_ROUTING_BREAKDOWN'!B34),"")</f>
      </c>
      <c r="C49" s="9">
        <f>IFERROR(IF('3_ROUTING_BREAKDOWN'!C34="","",'3_ROUTING_BREAKDOWN'!C34),"")</f>
      </c>
      <c r="D49" s="9">
        <f>IFERROR(IF(OR('3_ROUTING_BREAKDOWN'!C34="",""),"",IF('3_ROUTING_BREAKDOWN'!I34&lt;'3_ROUTING_BREAKDOWN'!H34,"Yield Drop ("&amp;TEXT('3_ROUTING_BREAKDOWN'!H34,"0.0%")&amp;" ➔ "&amp;TEXT('3_ROUTING_BREAKDOWN'!I34,"0.0%")&amp;")",IF('3_ROUTING_BREAKDOWN'!I34&gt;'3_ROUTING_BREAKDOWN'!H34,"Yield Improvement ("&amp;TEXT('3_ROUTING_BREAKDOWN'!H34,"0.0%")&amp;" ➔ "&amp;TEXT('3_ROUTING_BREAKDOWN'!I34,"0.0%")&amp;")",IF('3_ROUTING_BREAKDOWN'!G34&lt;'3_ROUTING_BREAKDOWN'!F34,"Capacity Drop ("&amp;TEXT('3_ROUTING_BREAKDOWN'!F34,"#,##0")&amp;" ➔ "&amp;TEXT('3_ROUTING_BREAKDOWN'!G34,"#,##0")&amp;" Unit/hr)",IF('3_ROUTING_BREAKDOWN'!G34&gt;'3_ROUTING_BREAKDOWN'!F34,"Capacity Improvement ("&amp;TEXT('3_ROUTING_BREAKDOWN'!F34,"#,##0")&amp;" ➔ "&amp;TEXT('3_ROUTING_BREAKDOWN'!G34,"#,##0")&amp;" Unit/hr)",""))))),"")</f>
      </c>
      <c r="E49" s="16">
        <f>IFERROR(IF(OR('3_ROUTING_BREAKDOWN'!C34="",""),"",IF('3_ROUTING_BREAKDOWN'!I34&lt;&gt;'3_ROUTING_BREAKDOWN'!H34,'3_ROUTING_BREAKDOWN'!H34,IF('3_ROUTING_BREAKDOWN'!G34&lt;&gt;'3_ROUTING_BREAKDOWN'!F34,'3_ROUTING_BREAKDOWN'!F34,""))),"")</f>
      </c>
      <c r="F49" s="16">
        <f>IFERROR(IF(OR('3_ROUTING_BREAKDOWN'!C34="",""),"",IF('3_ROUTING_BREAKDOWN'!I34&lt;&gt;'3_ROUTING_BREAKDOWN'!H34,'3_ROUTING_BREAKDOWN'!I34,IF('3_ROUTING_BREAKDOWN'!G34&lt;&gt;'3_ROUTING_BREAKDOWN'!F34,'3_ROUTING_BREAKDOWN'!G34,""))),"")</f>
      </c>
      <c r="G49" s="17">
        <f>IFERROR(IF(OR('3_ROUTING_BREAKDOWN'!C34="",'3_ROUTING_BREAKDOWN'!P76=""),"",'3_ROUTING_BREAKDOWN'!P76),"")</f>
      </c>
      <c r="H49" s="18">
        <f>IFERROR(IF(OR(G49="",G49&lt;=0), "", G49+(55-A49)*0.00000001), "")</f>
      </c>
    </row>
    <row r="50" spans="1:8" x14ac:dyDescent="0.25">
      <c r="A50" s="9">
        <v>47</v>
      </c>
      <c r="B50" s="9">
        <f>IFERROR(IF('3_ROUTING_BREAKDOWN'!B35="","",'3_ROUTING_BREAKDOWN'!B35),"")</f>
      </c>
      <c r="C50" s="9">
        <f>IFERROR(IF('3_ROUTING_BREAKDOWN'!C35="","",'3_ROUTING_BREAKDOWN'!C35),"")</f>
      </c>
      <c r="D50" s="9">
        <f>IFERROR(IF(OR('3_ROUTING_BREAKDOWN'!C35="",""),"",IF('3_ROUTING_BREAKDOWN'!I35&lt;'3_ROUTING_BREAKDOWN'!H35,"Yield Drop ("&amp;TEXT('3_ROUTING_BREAKDOWN'!H35,"0.0%")&amp;" ➔ "&amp;TEXT('3_ROUTING_BREAKDOWN'!I35,"0.0%")&amp;")",IF('3_ROUTING_BREAKDOWN'!I35&gt;'3_ROUTING_BREAKDOWN'!H35,"Yield Improvement ("&amp;TEXT('3_ROUTING_BREAKDOWN'!H35,"0.0%")&amp;" ➔ "&amp;TEXT('3_ROUTING_BREAKDOWN'!I35,"0.0%")&amp;")",IF('3_ROUTING_BREAKDOWN'!G35&lt;'3_ROUTING_BREAKDOWN'!F35,"Capacity Drop ("&amp;TEXT('3_ROUTING_BREAKDOWN'!F35,"#,##0")&amp;" ➔ "&amp;TEXT('3_ROUTING_BREAKDOWN'!G35,"#,##0")&amp;" Unit/hr)",IF('3_ROUTING_BREAKDOWN'!G35&gt;'3_ROUTING_BREAKDOWN'!F35,"Capacity Improvement ("&amp;TEXT('3_ROUTING_BREAKDOWN'!F35,"#,##0")&amp;" ➔ "&amp;TEXT('3_ROUTING_BREAKDOWN'!G35,"#,##0")&amp;" Unit/hr)",""))))),"")</f>
      </c>
      <c r="E50" s="16">
        <f>IFERROR(IF(OR('3_ROUTING_BREAKDOWN'!C35="",""),"",IF('3_ROUTING_BREAKDOWN'!I35&lt;&gt;'3_ROUTING_BREAKDOWN'!H35,'3_ROUTING_BREAKDOWN'!H35,IF('3_ROUTING_BREAKDOWN'!G35&lt;&gt;'3_ROUTING_BREAKDOWN'!F35,'3_ROUTING_BREAKDOWN'!F35,""))),"")</f>
      </c>
      <c r="F50" s="16">
        <f>IFERROR(IF(OR('3_ROUTING_BREAKDOWN'!C35="",""),"",IF('3_ROUTING_BREAKDOWN'!I35&lt;&gt;'3_ROUTING_BREAKDOWN'!H35,'3_ROUTING_BREAKDOWN'!I35,IF('3_ROUTING_BREAKDOWN'!G35&lt;&gt;'3_ROUTING_BREAKDOWN'!F35,'3_ROUTING_BREAKDOWN'!G35,""))),"")</f>
      </c>
      <c r="G50" s="17">
        <f>IFERROR(IF(OR('3_ROUTING_BREAKDOWN'!C35="",'3_ROUTING_BREAKDOWN'!P77=""),"",'3_ROUTING_BREAKDOWN'!P77),"")</f>
      </c>
      <c r="H50" s="18">
        <f>IFERROR(IF(OR(G50="",G50&lt;=0), "", G50+(55-A50)*0.00000001), "")</f>
      </c>
    </row>
    <row r="51" spans="1:8" x14ac:dyDescent="0.25">
      <c r="A51" s="9">
        <v>48</v>
      </c>
      <c r="B51" s="9">
        <f>IFERROR(IF('3_ROUTING_BREAKDOWN'!B36="","",'3_ROUTING_BREAKDOWN'!B36),"")</f>
      </c>
      <c r="C51" s="9">
        <f>IFERROR(IF('3_ROUTING_BREAKDOWN'!C36="","",'3_ROUTING_BREAKDOWN'!C36),"")</f>
      </c>
      <c r="D51" s="9">
        <f>IFERROR(IF(OR('3_ROUTING_BREAKDOWN'!C36="",""),"",IF('3_ROUTING_BREAKDOWN'!I36&lt;'3_ROUTING_BREAKDOWN'!H36,"Yield Drop ("&amp;TEXT('3_ROUTING_BREAKDOWN'!H36,"0.0%")&amp;" ➔ "&amp;TEXT('3_ROUTING_BREAKDOWN'!I36,"0.0%")&amp;")",IF('3_ROUTING_BREAKDOWN'!I36&gt;'3_ROUTING_BREAKDOWN'!H36,"Yield Improvement ("&amp;TEXT('3_ROUTING_BREAKDOWN'!H36,"0.0%")&amp;" ➔ "&amp;TEXT('3_ROUTING_BREAKDOWN'!I36,"0.0%")&amp;")",IF('3_ROUTING_BREAKDOWN'!G36&lt;'3_ROUTING_BREAKDOWN'!F36,"Capacity Drop ("&amp;TEXT('3_ROUTING_BREAKDOWN'!F36,"#,##0")&amp;" ➔ "&amp;TEXT('3_ROUTING_BREAKDOWN'!G36,"#,##0")&amp;" Unit/hr)",IF('3_ROUTING_BREAKDOWN'!G36&gt;'3_ROUTING_BREAKDOWN'!F36,"Capacity Improvement ("&amp;TEXT('3_ROUTING_BREAKDOWN'!F36,"#,##0")&amp;" ➔ "&amp;TEXT('3_ROUTING_BREAKDOWN'!G36,"#,##0")&amp;" Unit/hr)",""))))),"")</f>
      </c>
      <c r="E51" s="16">
        <f>IFERROR(IF(OR('3_ROUTING_BREAKDOWN'!C36="",""),"",IF('3_ROUTING_BREAKDOWN'!I36&lt;&gt;'3_ROUTING_BREAKDOWN'!H36,'3_ROUTING_BREAKDOWN'!H36,IF('3_ROUTING_BREAKDOWN'!G36&lt;&gt;'3_ROUTING_BREAKDOWN'!F36,'3_ROUTING_BREAKDOWN'!F36,""))),"")</f>
      </c>
      <c r="F51" s="16">
        <f>IFERROR(IF(OR('3_ROUTING_BREAKDOWN'!C36="",""),"",IF('3_ROUTING_BREAKDOWN'!I36&lt;&gt;'3_ROUTING_BREAKDOWN'!H36,'3_ROUTING_BREAKDOWN'!I36,IF('3_ROUTING_BREAKDOWN'!G36&lt;&gt;'3_ROUTING_BREAKDOWN'!F36,'3_ROUTING_BREAKDOWN'!G36,""))),"")</f>
      </c>
      <c r="G51" s="17">
        <f>IFERROR(IF(OR('3_ROUTING_BREAKDOWN'!C36="",'3_ROUTING_BREAKDOWN'!P78=""),"",'3_ROUTING_BREAKDOWN'!P78),"")</f>
      </c>
      <c r="H51" s="18">
        <f>IFERROR(IF(OR(G51="",G51&lt;=0), "", G51+(55-A51)*0.00000001), "")</f>
      </c>
    </row>
    <row r="52" spans="1:8" x14ac:dyDescent="0.25">
      <c r="A52" s="9">
        <v>49</v>
      </c>
      <c r="B52" s="9">
        <f>IFERROR(IF('3_ROUTING_BREAKDOWN'!B37="","",'3_ROUTING_BREAKDOWN'!B37),"")</f>
      </c>
      <c r="C52" s="9">
        <f>IFERROR(IF('3_ROUTING_BREAKDOWN'!C37="","",'3_ROUTING_BREAKDOWN'!C37),"")</f>
      </c>
      <c r="D52" s="9">
        <f>IFERROR(IF(OR('3_ROUTING_BREAKDOWN'!C37="",""),"",IF('3_ROUTING_BREAKDOWN'!I37&lt;'3_ROUTING_BREAKDOWN'!H37,"Yield Drop ("&amp;TEXT('3_ROUTING_BREAKDOWN'!H37,"0.0%")&amp;" ➔ "&amp;TEXT('3_ROUTING_BREAKDOWN'!I37,"0.0%")&amp;")",IF('3_ROUTING_BREAKDOWN'!I37&gt;'3_ROUTING_BREAKDOWN'!H37,"Yield Improvement ("&amp;TEXT('3_ROUTING_BREAKDOWN'!H37,"0.0%")&amp;" ➔ "&amp;TEXT('3_ROUTING_BREAKDOWN'!I37,"0.0%")&amp;")",IF('3_ROUTING_BREAKDOWN'!G37&lt;'3_ROUTING_BREAKDOWN'!F37,"Capacity Drop ("&amp;TEXT('3_ROUTING_BREAKDOWN'!F37,"#,##0")&amp;" ➔ "&amp;TEXT('3_ROUTING_BREAKDOWN'!G37,"#,##0")&amp;" Unit/hr)",IF('3_ROUTING_BREAKDOWN'!G37&gt;'3_ROUTING_BREAKDOWN'!F37,"Capacity Improvement ("&amp;TEXT('3_ROUTING_BREAKDOWN'!F37,"#,##0")&amp;" ➔ "&amp;TEXT('3_ROUTING_BREAKDOWN'!G37,"#,##0")&amp;" Unit/hr)",""))))),"")</f>
      </c>
      <c r="E52" s="16">
        <f>IFERROR(IF(OR('3_ROUTING_BREAKDOWN'!C37="",""),"",IF('3_ROUTING_BREAKDOWN'!I37&lt;&gt;'3_ROUTING_BREAKDOWN'!H37,'3_ROUTING_BREAKDOWN'!H37,IF('3_ROUTING_BREAKDOWN'!G37&lt;&gt;'3_ROUTING_BREAKDOWN'!F37,'3_ROUTING_BREAKDOWN'!F37,""))),"")</f>
      </c>
      <c r="F52" s="16">
        <f>IFERROR(IF(OR('3_ROUTING_BREAKDOWN'!C37="",""),"",IF('3_ROUTING_BREAKDOWN'!I37&lt;&gt;'3_ROUTING_BREAKDOWN'!H37,'3_ROUTING_BREAKDOWN'!I37,IF('3_ROUTING_BREAKDOWN'!G37&lt;&gt;'3_ROUTING_BREAKDOWN'!F37,'3_ROUTING_BREAKDOWN'!G37,""))),"")</f>
      </c>
      <c r="G52" s="17">
        <f>IFERROR(IF(OR('3_ROUTING_BREAKDOWN'!C37="",'3_ROUTING_BREAKDOWN'!P79=""),"",'3_ROUTING_BREAKDOWN'!P79),"")</f>
      </c>
      <c r="H52" s="18">
        <f>IFERROR(IF(OR(G52="",G52&lt;=0), "", G52+(55-A52)*0.00000001), "")</f>
      </c>
    </row>
    <row r="53" spans="1:8" x14ac:dyDescent="0.25">
      <c r="A53" s="9">
        <v>50</v>
      </c>
      <c r="B53" s="9">
        <f>IFERROR(IF('3_ROUTING_BREAKDOWN'!B38="","",'3_ROUTING_BREAKDOWN'!B38),"")</f>
      </c>
      <c r="C53" s="9">
        <f>IFERROR(IF('3_ROUTING_BREAKDOWN'!C38="","",'3_ROUTING_BREAKDOWN'!C38),"")</f>
      </c>
      <c r="D53" s="9">
        <f>IFERROR(IF(OR('3_ROUTING_BREAKDOWN'!C38="",""),"",IF('3_ROUTING_BREAKDOWN'!I38&lt;'3_ROUTING_BREAKDOWN'!H38,"Yield Drop ("&amp;TEXT('3_ROUTING_BREAKDOWN'!H38,"0.0%")&amp;" ➔ "&amp;TEXT('3_ROUTING_BREAKDOWN'!I38,"0.0%")&amp;")",IF('3_ROUTING_BREAKDOWN'!I38&gt;'3_ROUTING_BREAKDOWN'!H38,"Yield Improvement ("&amp;TEXT('3_ROUTING_BREAKDOWN'!H38,"0.0%")&amp;" ➔ "&amp;TEXT('3_ROUTING_BREAKDOWN'!I38,"0.0%")&amp;")",IF('3_ROUTING_BREAKDOWN'!G38&lt;'3_ROUTING_BREAKDOWN'!F38,"Capacity Drop ("&amp;TEXT('3_ROUTING_BREAKDOWN'!F38,"#,##0")&amp;" ➔ "&amp;TEXT('3_ROUTING_BREAKDOWN'!G38,"#,##0")&amp;" Unit/hr)",IF('3_ROUTING_BREAKDOWN'!G38&gt;'3_ROUTING_BREAKDOWN'!F38,"Capacity Improvement ("&amp;TEXT('3_ROUTING_BREAKDOWN'!F38,"#,##0")&amp;" ➔ "&amp;TEXT('3_ROUTING_BREAKDOWN'!G38,"#,##0")&amp;" Unit/hr)",""))))),"")</f>
      </c>
      <c r="E53" s="16">
        <f>IFERROR(IF(OR('3_ROUTING_BREAKDOWN'!C38="",""),"",IF('3_ROUTING_BREAKDOWN'!I38&lt;&gt;'3_ROUTING_BREAKDOWN'!H38,'3_ROUTING_BREAKDOWN'!H38,IF('3_ROUTING_BREAKDOWN'!G38&lt;&gt;'3_ROUTING_BREAKDOWN'!F38,'3_ROUTING_BREAKDOWN'!F38,""))),"")</f>
      </c>
      <c r="F53" s="16">
        <f>IFERROR(IF(OR('3_ROUTING_BREAKDOWN'!C38="",""),"",IF('3_ROUTING_BREAKDOWN'!I38&lt;&gt;'3_ROUTING_BREAKDOWN'!H38,'3_ROUTING_BREAKDOWN'!I38,IF('3_ROUTING_BREAKDOWN'!G38&lt;&gt;'3_ROUTING_BREAKDOWN'!F38,'3_ROUTING_BREAKDOWN'!G38,""))),"")</f>
      </c>
      <c r="G53" s="17">
        <f>IFERROR(IF(OR('3_ROUTING_BREAKDOWN'!C38="",'3_ROUTING_BREAKDOWN'!P80=""),"",'3_ROUTING_BREAKDOWN'!P80),"")</f>
      </c>
      <c r="H53" s="18">
        <f>IFERROR(IF(OR(G53="",G53&lt;=0), "", G53+(55-A53)*0.00000001), "")</f>
      </c>
    </row>
    <row r="54" spans="1:8" x14ac:dyDescent="0.25">
      <c r="A54" s="9">
        <v>51</v>
      </c>
      <c r="B54" s="9">
        <f>IFERROR(IF('3_ROUTING_BREAKDOWN'!B39="","",'3_ROUTING_BREAKDOWN'!B39),"")</f>
      </c>
      <c r="C54" s="9">
        <f>IFERROR(IF('3_ROUTING_BREAKDOWN'!C39="","",'3_ROUTING_BREAKDOWN'!C39),"")</f>
      </c>
      <c r="D54" s="9">
        <f>IFERROR(IF(OR('3_ROUTING_BREAKDOWN'!C39="",""),"",IF('3_ROUTING_BREAKDOWN'!I39&lt;'3_ROUTING_BREAKDOWN'!H39,"Yield Drop ("&amp;TEXT('3_ROUTING_BREAKDOWN'!H39,"0.0%")&amp;" ➔ "&amp;TEXT('3_ROUTING_BREAKDOWN'!I39,"0.0%")&amp;")",IF('3_ROUTING_BREAKDOWN'!I39&gt;'3_ROUTING_BREAKDOWN'!H39,"Yield Improvement ("&amp;TEXT('3_ROUTING_BREAKDOWN'!H39,"0.0%")&amp;" ➔ "&amp;TEXT('3_ROUTING_BREAKDOWN'!I39,"0.0%")&amp;")",IF('3_ROUTING_BREAKDOWN'!G39&lt;'3_ROUTING_BREAKDOWN'!F39,"Capacity Drop ("&amp;TEXT('3_ROUTING_BREAKDOWN'!F39,"#,##0")&amp;" ➔ "&amp;TEXT('3_ROUTING_BREAKDOWN'!G39,"#,##0")&amp;" Unit/hr)",IF('3_ROUTING_BREAKDOWN'!G39&gt;'3_ROUTING_BREAKDOWN'!F39,"Capacity Improvement ("&amp;TEXT('3_ROUTING_BREAKDOWN'!F39,"#,##0")&amp;" ➔ "&amp;TEXT('3_ROUTING_BREAKDOWN'!G39,"#,##0")&amp;" Unit/hr)",""))))),"")</f>
      </c>
      <c r="E54" s="16">
        <f>IFERROR(IF(OR('3_ROUTING_BREAKDOWN'!C39="",""),"",IF('3_ROUTING_BREAKDOWN'!I39&lt;&gt;'3_ROUTING_BREAKDOWN'!H39,'3_ROUTING_BREAKDOWN'!H39,IF('3_ROUTING_BREAKDOWN'!G39&lt;&gt;'3_ROUTING_BREAKDOWN'!F39,'3_ROUTING_BREAKDOWN'!F39,""))),"")</f>
      </c>
      <c r="F54" s="16">
        <f>IFERROR(IF(OR('3_ROUTING_BREAKDOWN'!C39="",""),"",IF('3_ROUTING_BREAKDOWN'!I39&lt;&gt;'3_ROUTING_BREAKDOWN'!H39,'3_ROUTING_BREAKDOWN'!I39,IF('3_ROUTING_BREAKDOWN'!G39&lt;&gt;'3_ROUTING_BREAKDOWN'!F39,'3_ROUTING_BREAKDOWN'!G39,""))),"")</f>
      </c>
      <c r="G54" s="17">
        <f>IFERROR(IF(OR('3_ROUTING_BREAKDOWN'!C39="",'3_ROUTING_BREAKDOWN'!P81=""),"",'3_ROUTING_BREAKDOWN'!P81),"")</f>
      </c>
      <c r="H54" s="18">
        <f>IFERROR(IF(OR(G54="",G54&lt;=0), "", G54+(55-A54)*0.00000001), "")</f>
      </c>
    </row>
    <row r="55" spans="1:8" x14ac:dyDescent="0.25">
      <c r="A55" s="9">
        <v>52</v>
      </c>
      <c r="B55" s="9">
        <f>IFERROR(IF('3_ROUTING_BREAKDOWN'!B40="","",'3_ROUTING_BREAKDOWN'!B40),"")</f>
      </c>
      <c r="C55" s="9">
        <f>IFERROR(IF('3_ROUTING_BREAKDOWN'!C40="","",'3_ROUTING_BREAKDOWN'!C40),"")</f>
      </c>
      <c r="D55" s="9">
        <f>IFERROR(IF(OR('3_ROUTING_BREAKDOWN'!C40="",""),"",IF('3_ROUTING_BREAKDOWN'!I40&lt;'3_ROUTING_BREAKDOWN'!H40,"Yield Drop ("&amp;TEXT('3_ROUTING_BREAKDOWN'!H40,"0.0%")&amp;" ➔ "&amp;TEXT('3_ROUTING_BREAKDOWN'!I40,"0.0%")&amp;")",IF('3_ROUTING_BREAKDOWN'!I40&gt;'3_ROUTING_BREAKDOWN'!H40,"Yield Improvement ("&amp;TEXT('3_ROUTING_BREAKDOWN'!H40,"0.0%")&amp;" ➔ "&amp;TEXT('3_ROUTING_BREAKDOWN'!I40,"0.0%")&amp;")",IF('3_ROUTING_BREAKDOWN'!G40&lt;'3_ROUTING_BREAKDOWN'!F40,"Capacity Drop ("&amp;TEXT('3_ROUTING_BREAKDOWN'!F40,"#,##0")&amp;" ➔ "&amp;TEXT('3_ROUTING_BREAKDOWN'!G40,"#,##0")&amp;" Unit/hr)",IF('3_ROUTING_BREAKDOWN'!G40&gt;'3_ROUTING_BREAKDOWN'!F40,"Capacity Improvement ("&amp;TEXT('3_ROUTING_BREAKDOWN'!F40,"#,##0")&amp;" ➔ "&amp;TEXT('3_ROUTING_BREAKDOWN'!G40,"#,##0")&amp;" Unit/hr)",""))))),"")</f>
      </c>
      <c r="E55" s="16">
        <f>IFERROR(IF(OR('3_ROUTING_BREAKDOWN'!C40="",""),"",IF('3_ROUTING_BREAKDOWN'!I40&lt;&gt;'3_ROUTING_BREAKDOWN'!H40,'3_ROUTING_BREAKDOWN'!H40,IF('3_ROUTING_BREAKDOWN'!G40&lt;&gt;'3_ROUTING_BREAKDOWN'!F40,'3_ROUTING_BREAKDOWN'!F40,""))),"")</f>
      </c>
      <c r="F55" s="16">
        <f>IFERROR(IF(OR('3_ROUTING_BREAKDOWN'!C40="",""),"",IF('3_ROUTING_BREAKDOWN'!I40&lt;&gt;'3_ROUTING_BREAKDOWN'!H40,'3_ROUTING_BREAKDOWN'!I40,IF('3_ROUTING_BREAKDOWN'!G40&lt;&gt;'3_ROUTING_BREAKDOWN'!F40,'3_ROUTING_BREAKDOWN'!G40,""))),"")</f>
      </c>
      <c r="G55" s="17">
        <f>IFERROR(IF(OR('3_ROUTING_BREAKDOWN'!C40="",'3_ROUTING_BREAKDOWN'!P82=""),"",'3_ROUTING_BREAKDOWN'!P82),"")</f>
      </c>
      <c r="H55" s="18">
        <f>IFERROR(IF(OR(G55="",G55&lt;=0), "", G55+(55-A55)*0.00000001), "")</f>
      </c>
    </row>
    <row r="56" spans="1:8" x14ac:dyDescent="0.25">
      <c r="A56" s="9">
        <v>53</v>
      </c>
      <c r="B56" s="9">
        <f>IFERROR(IF('3_ROUTING_BREAKDOWN'!B41="","",'3_ROUTING_BREAKDOWN'!B41),"")</f>
      </c>
      <c r="C56" s="9">
        <f>IFERROR(IF('3_ROUTING_BREAKDOWN'!C41="","",'3_ROUTING_BREAKDOWN'!C41),"")</f>
      </c>
      <c r="D56" s="9">
        <f>IFERROR(IF(OR('3_ROUTING_BREAKDOWN'!C41="",""),"",IF('3_ROUTING_BREAKDOWN'!I41&lt;'3_ROUTING_BREAKDOWN'!H41,"Yield Drop ("&amp;TEXT('3_ROUTING_BREAKDOWN'!H41,"0.0%")&amp;" ➔ "&amp;TEXT('3_ROUTING_BREAKDOWN'!I41,"0.0%")&amp;")",IF('3_ROUTING_BREAKDOWN'!I41&gt;'3_ROUTING_BREAKDOWN'!H41,"Yield Improvement ("&amp;TEXT('3_ROUTING_BREAKDOWN'!H41,"0.0%")&amp;" ➔ "&amp;TEXT('3_ROUTING_BREAKDOWN'!I41,"0.0%")&amp;")",IF('3_ROUTING_BREAKDOWN'!G41&lt;'3_ROUTING_BREAKDOWN'!F41,"Capacity Drop ("&amp;TEXT('3_ROUTING_BREAKDOWN'!F41,"#,##0")&amp;" ➔ "&amp;TEXT('3_ROUTING_BREAKDOWN'!G41,"#,##0")&amp;" Unit/hr)",IF('3_ROUTING_BREAKDOWN'!G41&gt;'3_ROUTING_BREAKDOWN'!F41,"Capacity Improvement ("&amp;TEXT('3_ROUTING_BREAKDOWN'!F41,"#,##0")&amp;" ➔ "&amp;TEXT('3_ROUTING_BREAKDOWN'!G41,"#,##0")&amp;" Unit/hr)",""))))),"")</f>
      </c>
      <c r="E56" s="16">
        <f>IFERROR(IF(OR('3_ROUTING_BREAKDOWN'!C41="",""),"",IF('3_ROUTING_BREAKDOWN'!I41&lt;&gt;'3_ROUTING_BREAKDOWN'!H41,'3_ROUTING_BREAKDOWN'!H41,IF('3_ROUTING_BREAKDOWN'!G41&lt;&gt;'3_ROUTING_BREAKDOWN'!F41,'3_ROUTING_BREAKDOWN'!F41,""))),"")</f>
      </c>
      <c r="F56" s="16">
        <f>IFERROR(IF(OR('3_ROUTING_BREAKDOWN'!C41="",""),"",IF('3_ROUTING_BREAKDOWN'!I41&lt;&gt;'3_ROUTING_BREAKDOWN'!H41,'3_ROUTING_BREAKDOWN'!I41,IF('3_ROUTING_BREAKDOWN'!G41&lt;&gt;'3_ROUTING_BREAKDOWN'!F41,'3_ROUTING_BREAKDOWN'!G41,""))),"")</f>
      </c>
      <c r="G56" s="17">
        <f>IFERROR(IF(OR('3_ROUTING_BREAKDOWN'!C41="",'3_ROUTING_BREAKDOWN'!P83=""),"",'3_ROUTING_BREAKDOWN'!P83),"")</f>
      </c>
      <c r="H56" s="18">
        <f>IFERROR(IF(OR(G56="",G56&lt;=0), "", G56+(55-A56)*0.00000001), "")</f>
      </c>
    </row>
    <row r="57" spans="1:8" x14ac:dyDescent="0.25">
      <c r="A57" s="9">
        <v>54</v>
      </c>
      <c r="B57" s="9">
        <f>IFERROR(IF('3_ROUTING_BREAKDOWN'!B42="","",'3_ROUTING_BREAKDOWN'!B42),"")</f>
      </c>
      <c r="C57" s="9">
        <f>IFERROR(IF('3_ROUTING_BREAKDOWN'!C42="","",'3_ROUTING_BREAKDOWN'!C42),"")</f>
      </c>
      <c r="D57" s="9">
        <f>IFERROR(IF(OR('3_ROUTING_BREAKDOWN'!C42="",""),"",IF('3_ROUTING_BREAKDOWN'!I42&lt;'3_ROUTING_BREAKDOWN'!H42,"Yield Drop ("&amp;TEXT('3_ROUTING_BREAKDOWN'!H42,"0.0%")&amp;" ➔ "&amp;TEXT('3_ROUTING_BREAKDOWN'!I42,"0.0%")&amp;")",IF('3_ROUTING_BREAKDOWN'!I42&gt;'3_ROUTING_BREAKDOWN'!H42,"Yield Improvement ("&amp;TEXT('3_ROUTING_BREAKDOWN'!H42,"0.0%")&amp;" ➔ "&amp;TEXT('3_ROUTING_BREAKDOWN'!I42,"0.0%")&amp;")",IF('3_ROUTING_BREAKDOWN'!G42&lt;'3_ROUTING_BREAKDOWN'!F42,"Capacity Drop ("&amp;TEXT('3_ROUTING_BREAKDOWN'!F42,"#,##0")&amp;" ➔ "&amp;TEXT('3_ROUTING_BREAKDOWN'!G42,"#,##0")&amp;" Unit/hr)",IF('3_ROUTING_BREAKDOWN'!G42&gt;'3_ROUTING_BREAKDOWN'!F42,"Capacity Improvement ("&amp;TEXT('3_ROUTING_BREAKDOWN'!F42,"#,##0")&amp;" ➔ "&amp;TEXT('3_ROUTING_BREAKDOWN'!G42,"#,##0")&amp;" Unit/hr)",""))))),"")</f>
      </c>
      <c r="E57" s="16">
        <f>IFERROR(IF(OR('3_ROUTING_BREAKDOWN'!C42="",""),"",IF('3_ROUTING_BREAKDOWN'!I42&lt;&gt;'3_ROUTING_BREAKDOWN'!H42,'3_ROUTING_BREAKDOWN'!H42,IF('3_ROUTING_BREAKDOWN'!G42&lt;&gt;'3_ROUTING_BREAKDOWN'!F42,'3_ROUTING_BREAKDOWN'!F42,""))),"")</f>
      </c>
      <c r="F57" s="16">
        <f>IFERROR(IF(OR('3_ROUTING_BREAKDOWN'!C42="",""),"",IF('3_ROUTING_BREAKDOWN'!I42&lt;&gt;'3_ROUTING_BREAKDOWN'!H42,'3_ROUTING_BREAKDOWN'!I42,IF('3_ROUTING_BREAKDOWN'!G42&lt;&gt;'3_ROUTING_BREAKDOWN'!F42,'3_ROUTING_BREAKDOWN'!G42,""))),"")</f>
      </c>
      <c r="G57" s="17">
        <f>IFERROR(IF(OR('3_ROUTING_BREAKDOWN'!C42="",'3_ROUTING_BREAKDOWN'!P84=""),"",'3_ROUTING_BREAKDOWN'!P84),"")</f>
      </c>
      <c r="H57" s="18">
        <f>IFERROR(IF(OR(G57="",G57&lt;=0), "", G57+(55-A57)*0.00000001), "")</f>
      </c>
    </row>
    <row r="58" spans="1:8" x14ac:dyDescent="0.25">
      <c r="A58" s="9">
        <v>55</v>
      </c>
      <c r="B58" s="9">
        <f>IFERROR(IF('3_ROUTING_BREAKDOWN'!B43="","",'3_ROUTING_BREAKDOWN'!B43),"")</f>
      </c>
      <c r="C58" s="9">
        <f>IFERROR(IF('3_ROUTING_BREAKDOWN'!C43="","",'3_ROUTING_BREAKDOWN'!C43),"")</f>
      </c>
      <c r="D58" s="9">
        <f>IFERROR(IF(OR('3_ROUTING_BREAKDOWN'!C43="",""),"",IF('3_ROUTING_BREAKDOWN'!I43&lt;'3_ROUTING_BREAKDOWN'!H43,"Yield Drop ("&amp;TEXT('3_ROUTING_BREAKDOWN'!H43,"0.0%")&amp;" ➔ "&amp;TEXT('3_ROUTING_BREAKDOWN'!I43,"0.0%")&amp;")",IF('3_ROUTING_BREAKDOWN'!I43&gt;'3_ROUTING_BREAKDOWN'!H43,"Yield Improvement ("&amp;TEXT('3_ROUTING_BREAKDOWN'!H43,"0.0%")&amp;" ➔ "&amp;TEXT('3_ROUTING_BREAKDOWN'!I43,"0.0%")&amp;")",IF('3_ROUTING_BREAKDOWN'!G43&lt;'3_ROUTING_BREAKDOWN'!F43,"Capacity Drop ("&amp;TEXT('3_ROUTING_BREAKDOWN'!F43,"#,##0")&amp;" ➔ "&amp;TEXT('3_ROUTING_BREAKDOWN'!G43,"#,##0")&amp;" Unit/hr)",IF('3_ROUTING_BREAKDOWN'!G43&gt;'3_ROUTING_BREAKDOWN'!F43,"Capacity Improvement ("&amp;TEXT('3_ROUTING_BREAKDOWN'!F43,"#,##0")&amp;" ➔ "&amp;TEXT('3_ROUTING_BREAKDOWN'!G43,"#,##0")&amp;" Unit/hr)",""))))),"")</f>
      </c>
      <c r="E58" s="16">
        <f>IFERROR(IF(OR('3_ROUTING_BREAKDOWN'!C43="",""),"",IF('3_ROUTING_BREAKDOWN'!I43&lt;&gt;'3_ROUTING_BREAKDOWN'!H43,'3_ROUTING_BREAKDOWN'!H43,IF('3_ROUTING_BREAKDOWN'!G43&lt;&gt;'3_ROUTING_BREAKDOWN'!F43,'3_ROUTING_BREAKDOWN'!F43,""))),"")</f>
      </c>
      <c r="F58" s="16">
        <f>IFERROR(IF(OR('3_ROUTING_BREAKDOWN'!C43="",""),"",IF('3_ROUTING_BREAKDOWN'!I43&lt;&gt;'3_ROUTING_BREAKDOWN'!H43,'3_ROUTING_BREAKDOWN'!I43,IF('3_ROUTING_BREAKDOWN'!G43&lt;&gt;'3_ROUTING_BREAKDOWN'!F43,'3_ROUTING_BREAKDOWN'!G43,""))),"")</f>
      </c>
      <c r="G58" s="17">
        <f>IFERROR(IF(OR('3_ROUTING_BREAKDOWN'!C43="",'3_ROUTING_BREAKDOWN'!P85=""),"",'3_ROUTING_BREAKDOWN'!P85),"")</f>
      </c>
      <c r="H58" s="18">
        <f>IFERROR(IF(OR(G58="",G58&lt;=0), "", G58+(55-A58)*0.00000001), "")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64" customWidth="1"/>
    <col min="4" max="4" width="52" customWidth="1"/>
    <col min="5" max="6" width="18" customWidth="1"/>
    <col min="7" max="7" width="24" customWidth="1"/>
    <col min="8" max="8" width="18" customWidth="1"/>
    <col min="9" max="9" width="20" customWidth="1"/>
    <col min="10" max="10" width="32" customWidth="1"/>
  </cols>
  <sheetData>
    <row r="1" spans="1:6" x14ac:dyDescent="0.25">
      <c r="A1" s="1" t="s">
        <v>62</v>
      </c>
      <c r="B1" s="1"/>
      <c r="C1" s="1"/>
      <c r="D1" s="1"/>
      <c r="E1" s="1"/>
      <c r="F1" s="1"/>
    </row>
    <row r="3" spans="1:6" x14ac:dyDescent="0.25">
      <c r="A3" s="2" t="s">
        <v>63</v>
      </c>
      <c r="B3" s="2"/>
      <c r="C3" s="2"/>
      <c r="D3" s="2"/>
      <c r="E3" s="2"/>
      <c r="F3" s="2"/>
    </row>
    <row r="4" spans="1:6" x14ac:dyDescent="0.25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</row>
    <row r="5" spans="1:6" x14ac:dyDescent="0.25">
      <c r="A5" s="19" t="s">
        <v>70</v>
      </c>
      <c r="B5" s="10">
        <f>IFERROR(IF('2_BOM_BREAKDOWN'!D40="","",'2_BOM_BREAKDOWN'!D40), "")</f>
      </c>
      <c r="C5" s="10">
        <f>IFERROR(IF('2_BOM_BREAKDOWN'!E40="","",'2_BOM_BREAKDOWN'!E40), "")</f>
      </c>
      <c r="D5" s="10">
        <f>IFERROR(IF(OR(B5="",C5=""),"",C5-B5), "")</f>
      </c>
      <c r="E5" s="20">
        <f>IFERROR(IF(OR(B5="",D5="",B5&lt;=0), "", D5/B5), "")</f>
      </c>
      <c r="F5" s="9" t="s">
        <v>71</v>
      </c>
    </row>
    <row r="6" spans="1:6" x14ac:dyDescent="0.25">
      <c r="A6" s="19" t="s">
        <v>72</v>
      </c>
      <c r="B6" s="10">
        <f>IFERROR(IF('3_ROUTING_BREAKDOWN'!H86="","",'3_ROUTING_BREAKDOWN'!H86), "")</f>
      </c>
      <c r="C6" s="10">
        <f>IFERROR(IF('3_ROUTING_BREAKDOWN'!I86="","",'3_ROUTING_BREAKDOWN'!I86), "")</f>
      </c>
      <c r="D6" s="10">
        <f>IFERROR(IF(OR(B6="",C6=""),"",C6-B6), "")</f>
      </c>
      <c r="E6" s="20">
        <f>IFERROR(IF(OR(B6="",D6="",B6&lt;=0), "", D6/B6), "")</f>
      </c>
      <c r="F6" s="9" t="s">
        <v>71</v>
      </c>
    </row>
    <row r="7" spans="1:6" x14ac:dyDescent="0.25">
      <c r="A7" s="19" t="s">
        <v>73</v>
      </c>
      <c r="B7" s="10">
        <f>IFERROR(IF('3_ROUTING_BREAKDOWN'!K86="","",'3_ROUTING_BREAKDOWN'!K86), "")</f>
      </c>
      <c r="C7" s="10">
        <f>IFERROR(IF('3_ROUTING_BREAKDOWN'!L86="","",'3_ROUTING_BREAKDOWN'!L86), "")</f>
      </c>
      <c r="D7" s="10">
        <f>IFERROR(IF(OR(B7="",C7=""),"",C7-B7), "")</f>
      </c>
      <c r="E7" s="20">
        <f>IFERROR(IF(OR(B7="",D7="",B7&lt;=0), "", D7/B7), "")</f>
      </c>
      <c r="F7" s="9" t="s">
        <v>71</v>
      </c>
    </row>
    <row r="8" spans="1:6" x14ac:dyDescent="0.25">
      <c r="A8" s="11" t="s">
        <v>74</v>
      </c>
      <c r="B8" s="12">
        <f>IFERROR(IF(SUM(B5:B7)=0,"",SUM(B5:B7)), "")</f>
      </c>
      <c r="C8" s="12">
        <f>IFERROR(IF(SUM(C5:C7)=0,"",SUM(C5:C7)), "")</f>
      </c>
      <c r="D8" s="12">
        <f>IFERROR(IF(OR(B8="",C8=""),"",C8-B8), "")</f>
      </c>
      <c r="E8" s="21">
        <f>IFERROR(IF(OR(B8="",D8="",B8&lt;=0), "", D8/B8), "")</f>
      </c>
      <c r="F8" s="11" t="s">
        <v>75</v>
      </c>
    </row>
    <row r="11" spans="1:10" x14ac:dyDescent="0.25">
      <c r="A11" s="2" t="s">
        <v>76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3" t="s">
        <v>77</v>
      </c>
      <c r="B12" s="3" t="s">
        <v>55</v>
      </c>
      <c r="C12" s="3" t="s">
        <v>78</v>
      </c>
      <c r="D12" s="3" t="s">
        <v>79</v>
      </c>
      <c r="E12" s="3" t="s">
        <v>58</v>
      </c>
      <c r="F12" s="3" t="s">
        <v>59</v>
      </c>
      <c r="G12" s="3" t="s">
        <v>80</v>
      </c>
      <c r="H12" s="3" t="s">
        <v>81</v>
      </c>
      <c r="I12" s="3" t="s">
        <v>82</v>
      </c>
      <c r="J12" s="3" t="s">
        <v>83</v>
      </c>
    </row>
    <row r="13" spans="1:10" x14ac:dyDescent="0.25">
      <c r="A13" s="19">
        <f>IFERROR(IF(LARGE(_CALC_ENGINE!H$4:H$58, 1)&lt;=0, "", 1), "")</f>
      </c>
      <c r="B13" s="9">
        <f>IFERROR(IF(LARGE(_CALC_ENGINE!H$4:H$58, 1)&lt;=0, "", INDEX(_CALC_ENGINE!B$4:B$58, MATCH(LARGE(_CALC_ENGINE!H$4:H$58, 1), _CALC_ENGINE!H$4:H$58, 0))), "")</f>
      </c>
      <c r="C13" s="9">
        <f>IFERROR(IF(LARGE(_CALC_ENGINE!H$4:H$58, 1)&lt;=0, "", INDEX(_CALC_ENGINE!C$4:C$58, MATCH(LARGE(_CALC_ENGINE!H$4:H$58, 1), _CALC_ENGINE!H$4:H$58, 0))), "")</f>
      </c>
      <c r="D13" s="9">
        <f>IFERROR(IF(LARGE(_CALC_ENGINE!H$4:H$58, 1)&lt;=0, "", INDEX(_CALC_ENGINE!D$4:D$58, MATCH(LARGE(_CALC_ENGINE!H$4:H$58, 1), _CALC_ENGINE!H$4:H$58, 0))), "")</f>
      </c>
      <c r="E13" s="16">
        <f>IFERROR(IF(LARGE(_CALC_ENGINE!H$4:H$58, 1)&lt;=0, "", INDEX(_CALC_ENGINE!E$4:E$58, MATCH(LARGE(_CALC_ENGINE!H$4:H$58, 1), _CALC_ENGINE!H$4:H$58, 0))), "")</f>
      </c>
      <c r="F13" s="16">
        <f>IFERROR(IF(LARGE(_CALC_ENGINE!H$4:H$58, 1)&lt;=0, "", INDEX(_CALC_ENGINE!F$4:F$58, MATCH(LARGE(_CALC_ENGINE!H$4:H$58, 1), _CALC_ENGINE!H$4:H$58, 0))), "")</f>
      </c>
      <c r="G13" s="17">
        <f>IFERROR(IF(LARGE(_CALC_ENGINE!H$4:H$58, 1)&lt;=0, "", INDEX(_CALC_ENGINE!G$4:G$58, MATCH(LARGE(_CALC_ENGINE!H$4:H$58, 1), _CALC_ENGINE!H$4:H$58, 0))), "")</f>
      </c>
      <c r="H13" s="20">
        <f>IFERROR(IF(OR(LARGE(_CALC_ENGINE!H$4:H$58, 1)&lt;=0, $D$8&lt;=0, G13=""), "", G13/$D$8), "")</f>
      </c>
      <c r="I13" s="4"/>
      <c r="J13" s="22"/>
    </row>
    <row r="14" spans="1:10" x14ac:dyDescent="0.25">
      <c r="A14" s="19">
        <f>IFERROR(IF(LARGE(_CALC_ENGINE!H$4:H$58, 2)&lt;=0, "", 2), "")</f>
      </c>
      <c r="B14" s="9">
        <f>IFERROR(IF(LARGE(_CALC_ENGINE!H$4:H$58, 2)&lt;=0, "", INDEX(_CALC_ENGINE!B$4:B$58, MATCH(LARGE(_CALC_ENGINE!H$4:H$58, 2), _CALC_ENGINE!H$4:H$58, 0))), "")</f>
      </c>
      <c r="C14" s="9">
        <f>IFERROR(IF(LARGE(_CALC_ENGINE!H$4:H$58, 2)&lt;=0, "", INDEX(_CALC_ENGINE!C$4:C$58, MATCH(LARGE(_CALC_ENGINE!H$4:H$58, 2), _CALC_ENGINE!H$4:H$58, 0))), "")</f>
      </c>
      <c r="D14" s="9">
        <f>IFERROR(IF(LARGE(_CALC_ENGINE!H$4:H$58, 2)&lt;=0, "", INDEX(_CALC_ENGINE!D$4:D$58, MATCH(LARGE(_CALC_ENGINE!H$4:H$58, 2), _CALC_ENGINE!H$4:H$58, 0))), "")</f>
      </c>
      <c r="E14" s="16">
        <f>IFERROR(IF(LARGE(_CALC_ENGINE!H$4:H$58, 2)&lt;=0, "", INDEX(_CALC_ENGINE!E$4:E$58, MATCH(LARGE(_CALC_ENGINE!H$4:H$58, 2), _CALC_ENGINE!H$4:H$58, 0))), "")</f>
      </c>
      <c r="F14" s="16">
        <f>IFERROR(IF(LARGE(_CALC_ENGINE!H$4:H$58, 2)&lt;=0, "", INDEX(_CALC_ENGINE!F$4:F$58, MATCH(LARGE(_CALC_ENGINE!H$4:H$58, 2), _CALC_ENGINE!H$4:H$58, 0))), "")</f>
      </c>
      <c r="G14" s="17">
        <f>IFERROR(IF(LARGE(_CALC_ENGINE!H$4:H$58, 2)&lt;=0, "", INDEX(_CALC_ENGINE!G$4:G$58, MATCH(LARGE(_CALC_ENGINE!H$4:H$58, 2), _CALC_ENGINE!H$4:H$58, 0))), "")</f>
      </c>
      <c r="H14" s="20">
        <f>IFERROR(IF(OR(LARGE(_CALC_ENGINE!H$4:H$58, 2)&lt;=0, $D$8&lt;=0, G14=""), "", G14/$D$8), "")</f>
      </c>
      <c r="I14" s="4"/>
      <c r="J14" s="22"/>
    </row>
    <row r="15" spans="1:10" x14ac:dyDescent="0.25">
      <c r="A15" s="19">
        <f>IFERROR(IF(LARGE(_CALC_ENGINE!H$4:H$58, 3)&lt;=0, "", 3), "")</f>
      </c>
      <c r="B15" s="9">
        <f>IFERROR(IF(LARGE(_CALC_ENGINE!H$4:H$58, 3)&lt;=0, "", INDEX(_CALC_ENGINE!B$4:B$58, MATCH(LARGE(_CALC_ENGINE!H$4:H$58, 3), _CALC_ENGINE!H$4:H$58, 0))), "")</f>
      </c>
      <c r="C15" s="9">
        <f>IFERROR(IF(LARGE(_CALC_ENGINE!H$4:H$58, 3)&lt;=0, "", INDEX(_CALC_ENGINE!C$4:C$58, MATCH(LARGE(_CALC_ENGINE!H$4:H$58, 3), _CALC_ENGINE!H$4:H$58, 0))), "")</f>
      </c>
      <c r="D15" s="9">
        <f>IFERROR(IF(LARGE(_CALC_ENGINE!H$4:H$58, 3)&lt;=0, "", INDEX(_CALC_ENGINE!D$4:D$58, MATCH(LARGE(_CALC_ENGINE!H$4:H$58, 3), _CALC_ENGINE!H$4:H$58, 0))), "")</f>
      </c>
      <c r="E15" s="16">
        <f>IFERROR(IF(LARGE(_CALC_ENGINE!H$4:H$58, 3)&lt;=0, "", INDEX(_CALC_ENGINE!E$4:E$58, MATCH(LARGE(_CALC_ENGINE!H$4:H$58, 3), _CALC_ENGINE!H$4:H$58, 0))), "")</f>
      </c>
      <c r="F15" s="16">
        <f>IFERROR(IF(LARGE(_CALC_ENGINE!H$4:H$58, 3)&lt;=0, "", INDEX(_CALC_ENGINE!F$4:F$58, MATCH(LARGE(_CALC_ENGINE!H$4:H$58, 3), _CALC_ENGINE!H$4:H$58, 0))), "")</f>
      </c>
      <c r="G15" s="17">
        <f>IFERROR(IF(LARGE(_CALC_ENGINE!H$4:H$58, 3)&lt;=0, "", INDEX(_CALC_ENGINE!G$4:G$58, MATCH(LARGE(_CALC_ENGINE!H$4:H$58, 3), _CALC_ENGINE!H$4:H$58, 0))), "")</f>
      </c>
      <c r="H15" s="20">
        <f>IFERROR(IF(OR(LARGE(_CALC_ENGINE!H$4:H$58, 3)&lt;=0, $D$8&lt;=0, G15=""), "", G15/$D$8), "")</f>
      </c>
      <c r="I15" s="4"/>
      <c r="J15" s="22"/>
    </row>
    <row r="16" spans="1:10" x14ac:dyDescent="0.25">
      <c r="A16" s="19">
        <f>IFERROR(IF(LARGE(_CALC_ENGINE!H$4:H$58, 4)&lt;=0, "", 4), "")</f>
      </c>
      <c r="B16" s="9">
        <f>IFERROR(IF(LARGE(_CALC_ENGINE!H$4:H$58, 4)&lt;=0, "", INDEX(_CALC_ENGINE!B$4:B$58, MATCH(LARGE(_CALC_ENGINE!H$4:H$58, 4), _CALC_ENGINE!H$4:H$58, 0))), "")</f>
      </c>
      <c r="C16" s="9">
        <f>IFERROR(IF(LARGE(_CALC_ENGINE!H$4:H$58, 4)&lt;=0, "", INDEX(_CALC_ENGINE!C$4:C$58, MATCH(LARGE(_CALC_ENGINE!H$4:H$58, 4), _CALC_ENGINE!H$4:H$58, 0))), "")</f>
      </c>
      <c r="D16" s="9">
        <f>IFERROR(IF(LARGE(_CALC_ENGINE!H$4:H$58, 4)&lt;=0, "", INDEX(_CALC_ENGINE!D$4:D$58, MATCH(LARGE(_CALC_ENGINE!H$4:H$58, 4), _CALC_ENGINE!H$4:H$58, 0))), "")</f>
      </c>
      <c r="E16" s="16">
        <f>IFERROR(IF(LARGE(_CALC_ENGINE!H$4:H$58, 4)&lt;=0, "", INDEX(_CALC_ENGINE!E$4:E$58, MATCH(LARGE(_CALC_ENGINE!H$4:H$58, 4), _CALC_ENGINE!H$4:H$58, 0))), "")</f>
      </c>
      <c r="F16" s="16">
        <f>IFERROR(IF(LARGE(_CALC_ENGINE!H$4:H$58, 4)&lt;=0, "", INDEX(_CALC_ENGINE!F$4:F$58, MATCH(LARGE(_CALC_ENGINE!H$4:H$58, 4), _CALC_ENGINE!H$4:H$58, 0))), "")</f>
      </c>
      <c r="G16" s="17">
        <f>IFERROR(IF(LARGE(_CALC_ENGINE!H$4:H$58, 4)&lt;=0, "", INDEX(_CALC_ENGINE!G$4:G$58, MATCH(LARGE(_CALC_ENGINE!H$4:H$58, 4), _CALC_ENGINE!H$4:H$58, 0))), "")</f>
      </c>
      <c r="H16" s="20">
        <f>IFERROR(IF(OR(LARGE(_CALC_ENGINE!H$4:H$58, 4)&lt;=0, $D$8&lt;=0, G16=""), "", G16/$D$8), "")</f>
      </c>
      <c r="I16" s="4"/>
      <c r="J16" s="22"/>
    </row>
    <row r="17" spans="1:10" x14ac:dyDescent="0.25">
      <c r="A17" s="19">
        <f>IFERROR(IF(LARGE(_CALC_ENGINE!H$4:H$58, 5)&lt;=0, "", 5), "")</f>
      </c>
      <c r="B17" s="9">
        <f>IFERROR(IF(LARGE(_CALC_ENGINE!H$4:H$58, 5)&lt;=0, "", INDEX(_CALC_ENGINE!B$4:B$58, MATCH(LARGE(_CALC_ENGINE!H$4:H$58, 5), _CALC_ENGINE!H$4:H$58, 0))), "")</f>
      </c>
      <c r="C17" s="9">
        <f>IFERROR(IF(LARGE(_CALC_ENGINE!H$4:H$58, 5)&lt;=0, "", INDEX(_CALC_ENGINE!C$4:C$58, MATCH(LARGE(_CALC_ENGINE!H$4:H$58, 5), _CALC_ENGINE!H$4:H$58, 0))), "")</f>
      </c>
      <c r="D17" s="9">
        <f>IFERROR(IF(LARGE(_CALC_ENGINE!H$4:H$58, 5)&lt;=0, "", INDEX(_CALC_ENGINE!D$4:D$58, MATCH(LARGE(_CALC_ENGINE!H$4:H$58, 5), _CALC_ENGINE!H$4:H$58, 0))), "")</f>
      </c>
      <c r="E17" s="16">
        <f>IFERROR(IF(LARGE(_CALC_ENGINE!H$4:H$58, 5)&lt;=0, "", INDEX(_CALC_ENGINE!E$4:E$58, MATCH(LARGE(_CALC_ENGINE!H$4:H$58, 5), _CALC_ENGINE!H$4:H$58, 0))), "")</f>
      </c>
      <c r="F17" s="16">
        <f>IFERROR(IF(LARGE(_CALC_ENGINE!H$4:H$58, 5)&lt;=0, "", INDEX(_CALC_ENGINE!F$4:F$58, MATCH(LARGE(_CALC_ENGINE!H$4:H$58, 5), _CALC_ENGINE!H$4:H$58, 0))), "")</f>
      </c>
      <c r="G17" s="17">
        <f>IFERROR(IF(LARGE(_CALC_ENGINE!H$4:H$58, 5)&lt;=0, "", INDEX(_CALC_ENGINE!G$4:G$58, MATCH(LARGE(_CALC_ENGINE!H$4:H$58, 5), _CALC_ENGINE!H$4:H$58, 0))), "")</f>
      </c>
      <c r="H17" s="20">
        <f>IFERROR(IF(OR(LARGE(_CALC_ENGINE!H$4:H$58, 5)&lt;=0, $D$8&lt;=0, G17=""), "", G17/$D$8), "")</f>
      </c>
      <c r="I17" s="4"/>
      <c r="J17" s="22"/>
    </row>
    <row r="18" spans="1:10" x14ac:dyDescent="0.25">
      <c r="A18" s="19">
        <f>IFERROR(IF(LARGE(_CALC_ENGINE!H$4:H$58, 6)&lt;=0, "", 6), "")</f>
      </c>
      <c r="B18" s="9">
        <f>IFERROR(IF(LARGE(_CALC_ENGINE!H$4:H$58, 6)&lt;=0, "", INDEX(_CALC_ENGINE!B$4:B$58, MATCH(LARGE(_CALC_ENGINE!H$4:H$58, 6), _CALC_ENGINE!H$4:H$58, 0))), "")</f>
      </c>
      <c r="C18" s="9">
        <f>IFERROR(IF(LARGE(_CALC_ENGINE!H$4:H$58, 6)&lt;=0, "", INDEX(_CALC_ENGINE!C$4:C$58, MATCH(LARGE(_CALC_ENGINE!H$4:H$58, 6), _CALC_ENGINE!H$4:H$58, 0))), "")</f>
      </c>
      <c r="D18" s="9">
        <f>IFERROR(IF(LARGE(_CALC_ENGINE!H$4:H$58, 6)&lt;=0, "", INDEX(_CALC_ENGINE!D$4:D$58, MATCH(LARGE(_CALC_ENGINE!H$4:H$58, 6), _CALC_ENGINE!H$4:H$58, 0))), "")</f>
      </c>
      <c r="E18" s="16">
        <f>IFERROR(IF(LARGE(_CALC_ENGINE!H$4:H$58, 6)&lt;=0, "", INDEX(_CALC_ENGINE!E$4:E$58, MATCH(LARGE(_CALC_ENGINE!H$4:H$58, 6), _CALC_ENGINE!H$4:H$58, 0))), "")</f>
      </c>
      <c r="F18" s="16">
        <f>IFERROR(IF(LARGE(_CALC_ENGINE!H$4:H$58, 6)&lt;=0, "", INDEX(_CALC_ENGINE!F$4:F$58, MATCH(LARGE(_CALC_ENGINE!H$4:H$58, 6), _CALC_ENGINE!H$4:H$58, 0))), "")</f>
      </c>
      <c r="G18" s="17">
        <f>IFERROR(IF(LARGE(_CALC_ENGINE!H$4:H$58, 6)&lt;=0, "", INDEX(_CALC_ENGINE!G$4:G$58, MATCH(LARGE(_CALC_ENGINE!H$4:H$58, 6), _CALC_ENGINE!H$4:H$58, 0))), "")</f>
      </c>
      <c r="H18" s="20">
        <f>IFERROR(IF(OR(LARGE(_CALC_ENGINE!H$4:H$58, 6)&lt;=0, $D$8&lt;=0, G18=""), "", G18/$D$8), "")</f>
      </c>
      <c r="I18" s="4"/>
      <c r="J18" s="22"/>
    </row>
    <row r="19" spans="1:10" x14ac:dyDescent="0.25">
      <c r="A19" s="19">
        <f>IFERROR(IF(LARGE(_CALC_ENGINE!H$4:H$58, 7)&lt;=0, "", 7), "")</f>
      </c>
      <c r="B19" s="9">
        <f>IFERROR(IF(LARGE(_CALC_ENGINE!H$4:H$58, 7)&lt;=0, "", INDEX(_CALC_ENGINE!B$4:B$58, MATCH(LARGE(_CALC_ENGINE!H$4:H$58, 7), _CALC_ENGINE!H$4:H$58, 0))), "")</f>
      </c>
      <c r="C19" s="9">
        <f>IFERROR(IF(LARGE(_CALC_ENGINE!H$4:H$58, 7)&lt;=0, "", INDEX(_CALC_ENGINE!C$4:C$58, MATCH(LARGE(_CALC_ENGINE!H$4:H$58, 7), _CALC_ENGINE!H$4:H$58, 0))), "")</f>
      </c>
      <c r="D19" s="9">
        <f>IFERROR(IF(LARGE(_CALC_ENGINE!H$4:H$58, 7)&lt;=0, "", INDEX(_CALC_ENGINE!D$4:D$58, MATCH(LARGE(_CALC_ENGINE!H$4:H$58, 7), _CALC_ENGINE!H$4:H$58, 0))), "")</f>
      </c>
      <c r="E19" s="16">
        <f>IFERROR(IF(LARGE(_CALC_ENGINE!H$4:H$58, 7)&lt;=0, "", INDEX(_CALC_ENGINE!E$4:E$58, MATCH(LARGE(_CALC_ENGINE!H$4:H$58, 7), _CALC_ENGINE!H$4:H$58, 0))), "")</f>
      </c>
      <c r="F19" s="16">
        <f>IFERROR(IF(LARGE(_CALC_ENGINE!H$4:H$58, 7)&lt;=0, "", INDEX(_CALC_ENGINE!F$4:F$58, MATCH(LARGE(_CALC_ENGINE!H$4:H$58, 7), _CALC_ENGINE!H$4:H$58, 0))), "")</f>
      </c>
      <c r="G19" s="17">
        <f>IFERROR(IF(LARGE(_CALC_ENGINE!H$4:H$58, 7)&lt;=0, "", INDEX(_CALC_ENGINE!G$4:G$58, MATCH(LARGE(_CALC_ENGINE!H$4:H$58, 7), _CALC_ENGINE!H$4:H$58, 0))), "")</f>
      </c>
      <c r="H19" s="20">
        <f>IFERROR(IF(OR(LARGE(_CALC_ENGINE!H$4:H$58, 7)&lt;=0, $D$8&lt;=0, G19=""), "", G19/$D$8), "")</f>
      </c>
      <c r="I19" s="4"/>
      <c r="J19" s="22"/>
    </row>
    <row r="20" spans="1:10" x14ac:dyDescent="0.25">
      <c r="A20" s="19">
        <f>IFERROR(IF(LARGE(_CALC_ENGINE!H$4:H$58, 8)&lt;=0, "", 8), "")</f>
      </c>
      <c r="B20" s="9">
        <f>IFERROR(IF(LARGE(_CALC_ENGINE!H$4:H$58, 8)&lt;=0, "", INDEX(_CALC_ENGINE!B$4:B$58, MATCH(LARGE(_CALC_ENGINE!H$4:H$58, 8), _CALC_ENGINE!H$4:H$58, 0))), "")</f>
      </c>
      <c r="C20" s="9">
        <f>IFERROR(IF(LARGE(_CALC_ENGINE!H$4:H$58, 8)&lt;=0, "", INDEX(_CALC_ENGINE!C$4:C$58, MATCH(LARGE(_CALC_ENGINE!H$4:H$58, 8), _CALC_ENGINE!H$4:H$58, 0))), "")</f>
      </c>
      <c r="D20" s="9">
        <f>IFERROR(IF(LARGE(_CALC_ENGINE!H$4:H$58, 8)&lt;=0, "", INDEX(_CALC_ENGINE!D$4:D$58, MATCH(LARGE(_CALC_ENGINE!H$4:H$58, 8), _CALC_ENGINE!H$4:H$58, 0))), "")</f>
      </c>
      <c r="E20" s="16">
        <f>IFERROR(IF(LARGE(_CALC_ENGINE!H$4:H$58, 8)&lt;=0, "", INDEX(_CALC_ENGINE!E$4:E$58, MATCH(LARGE(_CALC_ENGINE!H$4:H$58, 8), _CALC_ENGINE!H$4:H$58, 0))), "")</f>
      </c>
      <c r="F20" s="16">
        <f>IFERROR(IF(LARGE(_CALC_ENGINE!H$4:H$58, 8)&lt;=0, "", INDEX(_CALC_ENGINE!F$4:F$58, MATCH(LARGE(_CALC_ENGINE!H$4:H$58, 8), _CALC_ENGINE!H$4:H$58, 0))), "")</f>
      </c>
      <c r="G20" s="17">
        <f>IFERROR(IF(LARGE(_CALC_ENGINE!H$4:H$58, 8)&lt;=0, "", INDEX(_CALC_ENGINE!G$4:G$58, MATCH(LARGE(_CALC_ENGINE!H$4:H$58, 8), _CALC_ENGINE!H$4:H$58, 0))), "")</f>
      </c>
      <c r="H20" s="20">
        <f>IFERROR(IF(OR(LARGE(_CALC_ENGINE!H$4:H$58, 8)&lt;=0, $D$8&lt;=0, G20=""), "", G20/$D$8), "")</f>
      </c>
      <c r="I20" s="4"/>
      <c r="J20" s="22"/>
    </row>
    <row r="21" spans="1:10" x14ac:dyDescent="0.25">
      <c r="A21" s="19">
        <f>IFERROR(IF(LARGE(_CALC_ENGINE!H$4:H$58, 9)&lt;=0, "", 9), "")</f>
      </c>
      <c r="B21" s="9">
        <f>IFERROR(IF(LARGE(_CALC_ENGINE!H$4:H$58, 9)&lt;=0, "", INDEX(_CALC_ENGINE!B$4:B$58, MATCH(LARGE(_CALC_ENGINE!H$4:H$58, 9), _CALC_ENGINE!H$4:H$58, 0))), "")</f>
      </c>
      <c r="C21" s="9">
        <f>IFERROR(IF(LARGE(_CALC_ENGINE!H$4:H$58, 9)&lt;=0, "", INDEX(_CALC_ENGINE!C$4:C$58, MATCH(LARGE(_CALC_ENGINE!H$4:H$58, 9), _CALC_ENGINE!H$4:H$58, 0))), "")</f>
      </c>
      <c r="D21" s="9">
        <f>IFERROR(IF(LARGE(_CALC_ENGINE!H$4:H$58, 9)&lt;=0, "", INDEX(_CALC_ENGINE!D$4:D$58, MATCH(LARGE(_CALC_ENGINE!H$4:H$58, 9), _CALC_ENGINE!H$4:H$58, 0))), "")</f>
      </c>
      <c r="E21" s="16">
        <f>IFERROR(IF(LARGE(_CALC_ENGINE!H$4:H$58, 9)&lt;=0, "", INDEX(_CALC_ENGINE!E$4:E$58, MATCH(LARGE(_CALC_ENGINE!H$4:H$58, 9), _CALC_ENGINE!H$4:H$58, 0))), "")</f>
      </c>
      <c r="F21" s="16">
        <f>IFERROR(IF(LARGE(_CALC_ENGINE!H$4:H$58, 9)&lt;=0, "", INDEX(_CALC_ENGINE!F$4:F$58, MATCH(LARGE(_CALC_ENGINE!H$4:H$58, 9), _CALC_ENGINE!H$4:H$58, 0))), "")</f>
      </c>
      <c r="G21" s="17">
        <f>IFERROR(IF(LARGE(_CALC_ENGINE!H$4:H$58, 9)&lt;=0, "", INDEX(_CALC_ENGINE!G$4:G$58, MATCH(LARGE(_CALC_ENGINE!H$4:H$58, 9), _CALC_ENGINE!H$4:H$58, 0))), "")</f>
      </c>
      <c r="H21" s="20">
        <f>IFERROR(IF(OR(LARGE(_CALC_ENGINE!H$4:H$58, 9)&lt;=0, $D$8&lt;=0, G21=""), "", G21/$D$8), "")</f>
      </c>
      <c r="I21" s="4"/>
      <c r="J21" s="22"/>
    </row>
    <row r="22" spans="1:10" x14ac:dyDescent="0.25">
      <c r="A22" s="19">
        <f>IFERROR(IF(LARGE(_CALC_ENGINE!H$4:H$58, 10)&lt;=0, "", 10), "")</f>
      </c>
      <c r="B22" s="9">
        <f>IFERROR(IF(LARGE(_CALC_ENGINE!H$4:H$58, 10)&lt;=0, "", INDEX(_CALC_ENGINE!B$4:B$58, MATCH(LARGE(_CALC_ENGINE!H$4:H$58, 10), _CALC_ENGINE!H$4:H$58, 0))), "")</f>
      </c>
      <c r="C22" s="9">
        <f>IFERROR(IF(LARGE(_CALC_ENGINE!H$4:H$58, 10)&lt;=0, "", INDEX(_CALC_ENGINE!C$4:C$58, MATCH(LARGE(_CALC_ENGINE!H$4:H$58, 10), _CALC_ENGINE!H$4:H$58, 0))), "")</f>
      </c>
      <c r="D22" s="9">
        <f>IFERROR(IF(LARGE(_CALC_ENGINE!H$4:H$58, 10)&lt;=0, "", INDEX(_CALC_ENGINE!D$4:D$58, MATCH(LARGE(_CALC_ENGINE!H$4:H$58, 10), _CALC_ENGINE!H$4:H$58, 0))), "")</f>
      </c>
      <c r="E22" s="16">
        <f>IFERROR(IF(LARGE(_CALC_ENGINE!H$4:H$58, 10)&lt;=0, "", INDEX(_CALC_ENGINE!E$4:E$58, MATCH(LARGE(_CALC_ENGINE!H$4:H$58, 10), _CALC_ENGINE!H$4:H$58, 0))), "")</f>
      </c>
      <c r="F22" s="16">
        <f>IFERROR(IF(LARGE(_CALC_ENGINE!H$4:H$58, 10)&lt;=0, "", INDEX(_CALC_ENGINE!F$4:F$58, MATCH(LARGE(_CALC_ENGINE!H$4:H$58, 10), _CALC_ENGINE!H$4:H$58, 0))), "")</f>
      </c>
      <c r="G22" s="17">
        <f>IFERROR(IF(LARGE(_CALC_ENGINE!H$4:H$58, 10)&lt;=0, "", INDEX(_CALC_ENGINE!G$4:G$58, MATCH(LARGE(_CALC_ENGINE!H$4:H$58, 10), _CALC_ENGINE!H$4:H$58, 0))), "")</f>
      </c>
      <c r="H22" s="20">
        <f>IFERROR(IF(OR(LARGE(_CALC_ENGINE!H$4:H$58, 10)&lt;=0, $D$8&lt;=0, G22=""), "", G22/$D$8), "")</f>
      </c>
      <c r="I22" s="4"/>
      <c r="J22" s="22"/>
    </row>
  </sheetData>
  <mergeCells count="3">
    <mergeCell ref="A1:F1"/>
    <mergeCell ref="A3:F3"/>
    <mergeCell ref="A11:J11"/>
  </mergeCells>
  <dataValidations count="1">
    <dataValidation type="list" allowBlank="1" sqref="I13:I22">
      <formula1>"Controllable,Uncontrollable"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Cost Engineering System</dc:creator>
  <dc:title/>
  <dc:subject/>
  <dc:description/>
  <cp:keywords/>
  <cp:category/>
  <cp:lastModifiedBy>Unknown</cp:lastModifiedBy>
  <dcterms:created xsi:type="dcterms:W3CDTF">2026-08-19T08:29:55Z</dcterms:created>
  <dcterms:modified xsi:type="dcterms:W3CDTF">2026-08-19T08:29:55Z</dcterms:modified>
</cp:coreProperties>
</file>