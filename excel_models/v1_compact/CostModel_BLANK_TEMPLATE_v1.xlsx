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INPUT_DATA" state="visible" r:id="rId4"/>
    <sheet sheetId="2" name="2_COST_BREAKDOWN" state="visible" r:id="rId5"/>
    <sheet sheetId="3" name="3_EXECUTIVE_SUMMARY" state="visible" r:id="rId6"/>
    <sheet sheetId="4" name="4_WHAT_IF_SIMULATOR" state="visible" r:id="rId7"/>
  </sheets>
  <calcPr calcId="171027"/>
</workbook>
</file>

<file path=xl/sharedStrings.xml><?xml version="1.0" encoding="utf-8"?>
<sst xmlns="http://schemas.openxmlformats.org/spreadsheetml/2006/main" count="468" uniqueCount="175">
  <si>
    <t>COSTBREAKDOWN — MASTER OPERATIONAL INPUT DATA (BLANK TEMPLATE)</t>
  </si>
  <si>
    <t>Fill operational parameters in yellow cells. All calculations run automatically in Sheet 2-4.</t>
  </si>
  <si>
    <t>PRODUCT INFO</t>
  </si>
  <si>
    <t>Product Code</t>
  </si>
  <si>
    <t>Product Name / Description</t>
  </si>
  <si>
    <t>Base Qty</t>
  </si>
  <si>
    <t>UOM</t>
  </si>
  <si>
    <t>Customer / Application</t>
  </si>
  <si>
    <t>Source Reference</t>
  </si>
  <si>
    <t/>
  </si>
  <si>
    <t>WORK CENTER RATES (THB / MHr)</t>
  </si>
  <si>
    <t>Work Center (WC)</t>
  </si>
  <si>
    <t>Department Description</t>
  </si>
  <si>
    <t>Labor Rate (THB/MHr)</t>
  </si>
  <si>
    <t>Burden Rate (THB/MHr)</t>
  </si>
  <si>
    <t>Effective Date</t>
  </si>
  <si>
    <t>BOM (MATERIAL INPUT) — 10 ITEMS</t>
  </si>
  <si>
    <t>Item No</t>
  </si>
  <si>
    <t>Material Code</t>
  </si>
  <si>
    <t>Material Description</t>
  </si>
  <si>
    <t>Consumption (Q)</t>
  </si>
  <si>
    <t>Base Price (P0)</t>
  </si>
  <si>
    <t>Active Price (P1)</t>
  </si>
  <si>
    <t>Base Loss %</t>
  </si>
  <si>
    <t>Active Loss %</t>
  </si>
  <si>
    <t>ROUTING (PROCESS INPUT) — 12 OPERATIONS</t>
  </si>
  <si>
    <t>Seq</t>
  </si>
  <si>
    <t>Process Name</t>
  </si>
  <si>
    <t>Work Center</t>
  </si>
  <si>
    <t>Man (M)</t>
  </si>
  <si>
    <t>Base Capacity (pc/hr)</t>
  </si>
  <si>
    <t>Active Capacity (pc/hr)</t>
  </si>
  <si>
    <t>Base Cycle Time (s)</t>
  </si>
  <si>
    <t>Active Cycle Time (s)</t>
  </si>
  <si>
    <t>Base Yield (%)</t>
  </si>
  <si>
    <t>Active Yield (%)</t>
  </si>
  <si>
    <t>PRODUCT COST BREAKDOWN &amp; LEVEL 1-3 VARIANCE ANALYSIS</t>
  </si>
  <si>
    <t>Dynamic calculation engine referencing Sheet 1 inputs. 100% automated formulas.</t>
  </si>
  <si>
    <t>PART 1: DIRECT MATERIAL COST &amp; VARIANCE (BOM)</t>
  </si>
  <si>
    <t>Base Cost (฿)</t>
  </si>
  <si>
    <t>Active Cost (฿)</t>
  </si>
  <si>
    <t>Price Var (MPV) (฿)</t>
  </si>
  <si>
    <t>Loss Var (MLV) (฿)</t>
  </si>
  <si>
    <t>Total Mat Var (Δ ฿)</t>
  </si>
  <si>
    <t>TOTAL DIRECT MATERIAL (C_M)</t>
  </si>
  <si>
    <t>PART 2: CONVERSION PROCESS COST &amp; VARIANCE (ROUTING)</t>
  </si>
  <si>
    <t>Seq (Op #)</t>
  </si>
  <si>
    <t>Base Runtime (MHr)</t>
  </si>
  <si>
    <t>Active Runtime (MHr)</t>
  </si>
  <si>
    <t>Base Labor (฿)</t>
  </si>
  <si>
    <t>Active Labor (฿)</t>
  </si>
  <si>
    <t>Base Burden (฿)</t>
  </si>
  <si>
    <t>Active Burden (฿)</t>
  </si>
  <si>
    <t>Active Process Cost (฿)</t>
  </si>
  <si>
    <t>Process Δ (฿)</t>
  </si>
  <si>
    <t>TOTAL CONVERSION PROCESS (C_L + C_B)</t>
  </si>
  <si>
    <t>PART 3: 3-PILLAR COST ROLL-UP (REFERENCE VS. CURRENT STANDARD)</t>
  </si>
  <si>
    <t>Cost Element</t>
  </si>
  <si>
    <t>Baseline Reference Std (฿/pc)</t>
  </si>
  <si>
    <t>Active Current Std (฿/pc)</t>
  </si>
  <si>
    <t>Post-Kaizen Std (฿/pc)</t>
  </si>
  <si>
    <t>Total Variance (Δ ฿/pc)</t>
  </si>
  <si>
    <t>% Variance</t>
  </si>
  <si>
    <t>Primary Root Cause Driver</t>
  </si>
  <si>
    <t>Direct Material Cost (C_M)</t>
  </si>
  <si>
    <t>Direct Material Inflation Driver</t>
  </si>
  <si>
    <t>Direct Labor Cost (C_L)</t>
  </si>
  <si>
    <t>Direct Labor Conversion Driver</t>
  </si>
  <si>
    <t>Manufacturing Burden (C_B)</t>
  </si>
  <si>
    <t>Manufacturing Overhead Driver</t>
  </si>
  <si>
    <t>Total Standard Cost (C_Total)</t>
  </si>
  <si>
    <t>Standard Cost Roll-up Benchmark</t>
  </si>
  <si>
    <t>LEVEL 3: ATOMIC VARIANCE DECOMPOSITION &amp; RECONCILIATION</t>
  </si>
  <si>
    <t>Variance Decomposition Branch</t>
  </si>
  <si>
    <t>Cost Variance (THB/pc)</t>
  </si>
  <si>
    <t>% Contribution</t>
  </si>
  <si>
    <t>Variance Type</t>
  </si>
  <si>
    <t>Accountability</t>
  </si>
  <si>
    <t>Level 0: Total Standard Variance (Δ C_Total)</t>
  </si>
  <si>
    <t>Net Inflation Gap</t>
  </si>
  <si>
    <t>Overall Plant</t>
  </si>
  <si>
    <t xml:space="preserve">  ├── Material Price Variance (MPV)</t>
  </si>
  <si>
    <t>Market Price Inflation</t>
  </si>
  <si>
    <t>Purchasing</t>
  </si>
  <si>
    <t xml:space="preserve">  ├── Material Loss Variance (MLV)</t>
  </si>
  <si>
    <t>Scrap / Loss Variance</t>
  </si>
  <si>
    <t>Production / IE</t>
  </si>
  <si>
    <t xml:space="preserve">  ├── Labor Rate Variance (LRV)</t>
  </si>
  <si>
    <t>Wage Rate Adjustment</t>
  </si>
  <si>
    <t>HR / Management</t>
  </si>
  <si>
    <t xml:space="preserve">  ├── Labor Yield Variance (LEV)</t>
  </si>
  <si>
    <t>Labor Efficiency Gap</t>
  </si>
  <si>
    <t>IE / Cleanroom Production</t>
  </si>
  <si>
    <t xml:space="preserve">  ├── Burden Rate Variance (BRV)</t>
  </si>
  <si>
    <t>Overhead Index Adjustment</t>
  </si>
  <si>
    <t>Finance &amp; Accounting</t>
  </si>
  <si>
    <t xml:space="preserve">  └── Burden Yield Variance (BEV)</t>
  </si>
  <si>
    <t>Machine Runtime Gap</t>
  </si>
  <si>
    <t>IE / Maintenance</t>
  </si>
  <si>
    <t>RECONCILIATION CHECK (Total Gap - Sum of Variances)</t>
  </si>
  <si>
    <t>0.00%</t>
  </si>
  <si>
    <t>System Balance Test: EXACT 0.0000</t>
  </si>
  <si>
    <t>Cost Accounting Verification</t>
  </si>
  <si>
    <t>EXECUTIVE SUMMARY &amp; COST BRIDGE</t>
  </si>
  <si>
    <t>Standard Cost Gap Bridge &amp; Strategic Kaizen Candidate Ranking</t>
  </si>
  <si>
    <t>1. COST BRIDGE SUMMARY (THB / pc)</t>
  </si>
  <si>
    <t>Step</t>
  </si>
  <si>
    <t>Cost Stage / Driver</t>
  </si>
  <si>
    <t>Cost (฿/pc)</t>
  </si>
  <si>
    <t>Variance (Δ ฿)</t>
  </si>
  <si>
    <t>% Total Cost</t>
  </si>
  <si>
    <t>Waterfall Step Type</t>
  </si>
  <si>
    <t>0</t>
  </si>
  <si>
    <t>Baseline Reference Standard Cost</t>
  </si>
  <si>
    <t>-</t>
  </si>
  <si>
    <t>Starting Baseline</t>
  </si>
  <si>
    <t>+1</t>
  </si>
  <si>
    <t>Direct Material Price Inflation (MPV)</t>
  </si>
  <si>
    <t>Market Escalation</t>
  </si>
  <si>
    <t>+2</t>
  </si>
  <si>
    <t>Direct Labor Conversion Gap (LRV+LEV)</t>
  </si>
  <si>
    <t>Process Yield Drop</t>
  </si>
  <si>
    <t>+3</t>
  </si>
  <si>
    <t>Manufacturing Burden Gap (BRV+BEV)</t>
  </si>
  <si>
    <t>Machine Extended Runtime</t>
  </si>
  <si>
    <t>=</t>
  </si>
  <si>
    <t>Active Current Standard Cost</t>
  </si>
  <si>
    <t>Active Benchmark</t>
  </si>
  <si>
    <t>★</t>
  </si>
  <si>
    <t>Target Post-Kaizen Standard Cost (Option A)</t>
  </si>
  <si>
    <t>Future Standard Target</t>
  </si>
  <si>
    <t>2. COST GAP RANKING &amp; KAIZEN CANDIDATE SELECTION</t>
  </si>
  <si>
    <t>Rank</t>
  </si>
  <si>
    <t>Cost Driver Item</t>
  </si>
  <si>
    <t>Category</t>
  </si>
  <si>
    <t>Baseline Reference</t>
  </si>
  <si>
    <t>Active Standard</t>
  </si>
  <si>
    <t>Cost Gap (Δ ฿/pc)</t>
  </si>
  <si>
    <t>Controllability</t>
  </si>
  <si>
    <t>Ownership / Action Department</t>
  </si>
  <si>
    <t>#1</t>
  </si>
  <si>
    <t>Direct Material Price Inflation</t>
  </si>
  <si>
    <t>Direct Material (BOM)</t>
  </si>
  <si>
    <t>Uncontrollable (Market Index)</t>
  </si>
  <si>
    <t>Purchasing Department</t>
  </si>
  <si>
    <t>#2</t>
  </si>
  <si>
    <t>Process Yield Efficiency Gap</t>
  </si>
  <si>
    <t>Process Routing</t>
  </si>
  <si>
    <t>⭐ 100% Controllable (Kaizen Target)</t>
  </si>
  <si>
    <t>#3</t>
  </si>
  <si>
    <t>Manufacturing Overhead Gap</t>
  </si>
  <si>
    <t>Machine Burden</t>
  </si>
  <si>
    <t>Uncontrollable (Fixed Index)</t>
  </si>
  <si>
    <t>Accounting &amp; Finance</t>
  </si>
  <si>
    <t>RCA &amp; DYNAMIC WHAT-IF SIMULATION ENGINE</t>
  </si>
  <si>
    <t>Enter factory investment and target parameter. System automatically computes per-unit savings and new standard cost.</t>
  </si>
  <si>
    <t>1. ROOT CAUSE ANALYSIS (RCA) DIAGNOSIS (Target Operational Parameter)</t>
  </si>
  <si>
    <t>Target Factor</t>
  </si>
  <si>
    <t>Current State</t>
  </si>
  <si>
    <t>RCA Question</t>
  </si>
  <si>
    <t>Root Cause</t>
  </si>
  <si>
    <t>2. MULTI-OPTION KAIZEN SIMULATION &amp; TRADE-OFF COMPARISON</t>
  </si>
  <si>
    <t>Option</t>
  </si>
  <si>
    <t>Action / Countermeasure</t>
  </si>
  <si>
    <t>Target Yield</t>
  </si>
  <si>
    <t>Investment (฿)</t>
  </si>
  <si>
    <t>Lot Size (pcs)</t>
  </si>
  <si>
    <t>Added Cost (฿/pc)</t>
  </si>
  <si>
    <t>Gross Saving (฿/pc)</t>
  </si>
  <si>
    <t>Net Saving (฿/pc)</t>
  </si>
  <si>
    <t>Predicted Cost (฿/pc)</t>
  </si>
  <si>
    <t>Profitability Indicator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</si>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</sst>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0"/>
    <numFmt numFmtId="165" formatCode="0.0"/>
    <numFmt numFmtId="166" formatCode="+#,##0.0000;-#,##0.0000;0.0000"/>
    <numFmt numFmtId="167" formatCode="#,##0.0000 &quot;฿&quot;"/>
    <numFmt numFmtId="168" formatCode="+#,##0.0000 &quot;฿&quot;;-#,##0.0000 &quot;฿&quot;;0.0000 &quot;฿&quot;"/>
    <numFmt numFmtId="169" formatCode="0.000000"/>
    <numFmt numFmtId="170" formatCode="0.0%"/>
    <numFmt numFmtId="171" formatCode="+#,##0.0000 &quot;฿&quot;"/>
  </numFmts>
  <fonts count="9" x14ac:knownFonts="1">
    <font>
      <color theme="1"/>
      <family val="2"/>
      <scheme val="minor"/>
      <sz val="11"/>
      <name val="Calibri"/>
    </font>
    <font>
      <b/>
      <color rgb="FF0F172A"/>
      <sz val="12"/>
      <name val="Segoe UI"/>
    </font>
    <font>
      <color rgb="FF64748B"/>
      <sz val="9.5"/>
      <name val="Segoe UI"/>
    </font>
    <font>
      <b/>
      <color rgb="FF0F172A"/>
      <sz val="10.5"/>
      <name val="Segoe UI"/>
    </font>
    <font>
      <b/>
      <color rgb="FFFFFFFF"/>
      <sz val="10"/>
      <name val="Segoe UI"/>
    </font>
    <font>
      <b/>
      <color rgb="FF0F172A"/>
      <sz val="9.5"/>
      <name val="Consolas"/>
    </font>
    <font>
      <color rgb="FF334155"/>
      <sz val="9.5"/>
      <name val="Segoe UI"/>
    </font>
    <font>
      <color rgb="FF0F172A"/>
      <sz val="9.5"/>
      <name val="Consolas"/>
    </font>
    <font>
      <b/>
      <color rgb="FF0F172A"/>
      <sz val="9.5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FEF9C3"/>
      </patternFill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94A3B8"/>
      </top>
      <bottom style="double">
        <color rgb="FF0F172A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3" fontId="7" fillId="3" borderId="1" xfId="0" applyNumberFormat="1" applyFont="1" applyFill="1" applyBorder="1"/>
    <xf numFmtId="4" fontId="5" fillId="3" borderId="1" xfId="0" applyNumberFormat="1" applyFont="1" applyFill="1" applyBorder="1"/>
    <xf numFmtId="0" fontId="7" fillId="3" borderId="1" xfId="0" applyFont="1" applyFill="1" applyBorder="1"/>
    <xf numFmtId="0" fontId="4" fillId="4" borderId="0" xfId="0" applyFont="1" applyFill="1"/>
    <xf numFmtId="0" fontId="4" fillId="4" borderId="1" xfId="0" applyFont="1" applyFill="1" applyBorder="1"/>
    <xf numFmtId="0" fontId="7" fillId="3" borderId="1" xfId="0" applyFont="1" applyFill="1" applyBorder="1" applyAlignment="1">
      <alignment horizontal="center"/>
    </xf>
    <xf numFmtId="164" fontId="7" fillId="3" borderId="1" xfId="0" applyNumberFormat="1" applyFont="1" applyFill="1" applyBorder="1"/>
    <xf numFmtId="0" fontId="6" fillId="3" borderId="1" xfId="0" applyFont="1" applyFill="1" applyBorder="1" applyAlignment="1">
      <alignment horizontal="center"/>
    </xf>
    <xf numFmtId="4" fontId="7" fillId="3" borderId="1" xfId="0" applyNumberFormat="1" applyFont="1" applyFill="1" applyBorder="1"/>
    <xf numFmtId="10" fontId="7" fillId="3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3" fontId="5" fillId="3" borderId="1" xfId="0" applyNumberFormat="1" applyFont="1" applyFill="1" applyBorder="1"/>
    <xf numFmtId="165" fontId="7" fillId="3" borderId="1" xfId="0" applyNumberFormat="1" applyFont="1" applyFill="1" applyBorder="1"/>
    <xf numFmtId="10" fontId="5" fillId="3" borderId="1" xfId="0" applyNumberFormat="1" applyFont="1" applyFill="1" applyBorder="1"/>
    <xf numFmtId="0" fontId="7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164" fontId="7" fillId="0" borderId="1" xfId="0" applyNumberFormat="1" applyFont="1" applyBorder="1"/>
    <xf numFmtId="164" fontId="5" fillId="0" borderId="1" xfId="0" applyNumberFormat="1" applyFont="1" applyBorder="1"/>
    <xf numFmtId="166" fontId="5" fillId="0" borderId="1" xfId="0" applyNumberFormat="1" applyFont="1" applyBorder="1"/>
    <xf numFmtId="166" fontId="7" fillId="0" borderId="1" xfId="0" applyNumberFormat="1" applyFont="1" applyBorder="1"/>
    <xf numFmtId="0" fontId="8" fillId="5" borderId="0" xfId="0" applyFont="1" applyFill="1"/>
    <xf numFmtId="0" fontId="8" fillId="5" borderId="2" xfId="0" applyFont="1" applyFill="1" applyBorder="1"/>
    <xf numFmtId="167" fontId="5" fillId="5" borderId="2" xfId="0" applyNumberFormat="1" applyFont="1" applyFill="1" applyBorder="1"/>
    <xf numFmtId="168" fontId="5" fillId="5" borderId="2" xfId="0" applyNumberFormat="1" applyFont="1" applyFill="1" applyBorder="1"/>
    <xf numFmtId="0" fontId="5" fillId="0" borderId="1" xfId="0" applyFont="1" applyBorder="1" applyAlignment="1">
      <alignment horizontal="center"/>
    </xf>
    <xf numFmtId="169" fontId="7" fillId="0" borderId="1" xfId="0" applyNumberFormat="1" applyFont="1" applyBorder="1"/>
    <xf numFmtId="169" fontId="5" fillId="0" borderId="1" xfId="0" applyNumberFormat="1" applyFont="1" applyBorder="1"/>
    <xf numFmtId="0" fontId="8" fillId="0" borderId="1" xfId="0" applyFont="1" applyBorder="1"/>
    <xf numFmtId="167" fontId="7" fillId="0" borderId="1" xfId="0" applyNumberFormat="1" applyFont="1" applyBorder="1"/>
    <xf numFmtId="167" fontId="5" fillId="0" borderId="1" xfId="0" applyNumberFormat="1" applyFont="1" applyBorder="1"/>
    <xf numFmtId="168" fontId="5" fillId="0" borderId="1" xfId="0" applyNumberFormat="1" applyFont="1" applyBorder="1"/>
    <xf numFmtId="10" fontId="7" fillId="0" borderId="1" xfId="0" applyNumberFormat="1" applyFont="1" applyBorder="1"/>
    <xf numFmtId="10" fontId="5" fillId="5" borderId="2" xfId="0" applyNumberFormat="1" applyFont="1" applyFill="1" applyBorder="1"/>
    <xf numFmtId="0" fontId="8" fillId="6" borderId="0" xfId="0" applyFont="1" applyFill="1"/>
    <xf numFmtId="0" fontId="8" fillId="6" borderId="2" xfId="0" applyFont="1" applyFill="1" applyBorder="1"/>
    <xf numFmtId="167" fontId="5" fillId="6" borderId="2" xfId="0" applyNumberFormat="1" applyFont="1" applyFill="1" applyBorder="1"/>
    <xf numFmtId="0" fontId="8" fillId="0" borderId="1" xfId="0" applyFont="1" applyBorder="1" applyAlignment="1">
      <alignment horizontal="center"/>
    </xf>
    <xf numFmtId="168" fontId="7" fillId="0" borderId="1" xfId="0" applyNumberFormat="1" applyFont="1" applyBorder="1"/>
    <xf numFmtId="0" fontId="0" fillId="5" borderId="0" xfId="0" applyFill="1"/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/>
    <xf numFmtId="167" fontId="5" fillId="5" borderId="1" xfId="0" applyNumberFormat="1" applyFont="1" applyFill="1" applyBorder="1"/>
    <xf numFmtId="168" fontId="7" fillId="5" borderId="1" xfId="0" applyNumberFormat="1" applyFont="1" applyFill="1" applyBorder="1"/>
    <xf numFmtId="10" fontId="7" fillId="5" borderId="1" xfId="0" applyNumberFormat="1" applyFont="1" applyFill="1" applyBorder="1"/>
    <xf numFmtId="0" fontId="6" fillId="5" borderId="1" xfId="0" applyFont="1" applyFill="1" applyBorder="1"/>
    <xf numFmtId="0" fontId="0" fillId="6" borderId="0" xfId="0" applyFill="1"/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/>
    <xf numFmtId="167" fontId="5" fillId="6" borderId="1" xfId="0" applyNumberFormat="1" applyFont="1" applyFill="1" applyBorder="1"/>
    <xf numFmtId="168" fontId="7" fillId="6" borderId="1" xfId="0" applyNumberFormat="1" applyFont="1" applyFill="1" applyBorder="1"/>
    <xf numFmtId="10" fontId="7" fillId="6" borderId="1" xfId="0" applyNumberFormat="1" applyFont="1" applyFill="1" applyBorder="1"/>
    <xf numFmtId="0" fontId="6" fillId="6" borderId="1" xfId="0" applyFont="1" applyFill="1" applyBorder="1"/>
    <xf numFmtId="4" fontId="7" fillId="0" borderId="1" xfId="0" applyNumberFormat="1" applyFont="1" applyBorder="1"/>
    <xf numFmtId="4" fontId="7" fillId="6" borderId="1" xfId="0" applyNumberFormat="1" applyFont="1" applyFill="1" applyBorder="1"/>
    <xf numFmtId="168" fontId="5" fillId="6" borderId="1" xfId="0" applyNumberFormat="1" applyFont="1" applyFill="1" applyBorder="1"/>
    <xf numFmtId="0" fontId="8" fillId="3" borderId="1" xfId="0" applyFont="1" applyFill="1" applyBorder="1"/>
    <xf numFmtId="170" fontId="5" fillId="3" borderId="1" xfId="0" applyNumberFormat="1" applyFont="1" applyFill="1" applyBorder="1"/>
    <xf numFmtId="171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FormatPr defaultRowHeight="15" outlineLevelRow="0" outlineLevelCol="0" x14ac:dyDescent="55"/>
  <cols>
    <col min="1" max="1" width="14" customWidth="1"/>
    <col min="2" max="2" width="44" customWidth="1"/>
    <col min="3" max="3" width="18" customWidth="1"/>
    <col min="4" max="4" width="14" customWidth="1"/>
    <col min="5" max="6" width="18" customWidth="1"/>
    <col min="7" max="10" width="16" customWidth="1"/>
    <col min="11" max="11" width="24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3" customFormat="1" x14ac:dyDescent="0.25">
      <c r="A4" s="3" t="s">
        <v>2</v>
      </c>
    </row>
    <row r="5" spans="1:6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 x14ac:dyDescent="0.25">
      <c r="A6" s="6" t="s">
        <v>9</v>
      </c>
      <c r="B6" s="7" t="s">
        <v>9</v>
      </c>
      <c r="C6" s="8" t="s">
        <v>9</v>
      </c>
      <c r="D6" s="7" t="s">
        <v>9</v>
      </c>
      <c r="E6" s="7" t="s">
        <v>9</v>
      </c>
      <c r="F6" s="7" t="s">
        <v>9</v>
      </c>
    </row>
    <row r="8" spans="1:1" s="3" customFormat="1" x14ac:dyDescent="0.25">
      <c r="A8" s="3" t="s">
        <v>10</v>
      </c>
    </row>
    <row r="9" spans="1:6" s="4" customFormat="1" x14ac:dyDescent="0.25">
      <c r="A9" s="5" t="s">
        <v>11</v>
      </c>
      <c r="B9" s="5" t="s">
        <v>12</v>
      </c>
      <c r="C9" s="5" t="s">
        <v>13</v>
      </c>
      <c r="D9" s="5" t="s">
        <v>14</v>
      </c>
      <c r="E9" s="5" t="s">
        <v>15</v>
      </c>
      <c r="F9" s="5" t="s">
        <v>8</v>
      </c>
    </row>
    <row r="10" spans="1:6" x14ac:dyDescent="0.25">
      <c r="A10" s="6" t="s">
        <v>9</v>
      </c>
      <c r="B10" s="7" t="s">
        <v>9</v>
      </c>
      <c r="C10" s="9" t="s">
        <v>9</v>
      </c>
      <c r="D10" s="9" t="s">
        <v>9</v>
      </c>
      <c r="E10" s="10" t="s">
        <v>9</v>
      </c>
      <c r="F10" s="7" t="s">
        <v>9</v>
      </c>
    </row>
    <row r="11" spans="1:6" x14ac:dyDescent="0.25">
      <c r="A11" s="6" t="s">
        <v>9</v>
      </c>
      <c r="B11" s="7" t="s">
        <v>9</v>
      </c>
      <c r="C11" s="9" t="s">
        <v>9</v>
      </c>
      <c r="D11" s="9" t="s">
        <v>9</v>
      </c>
      <c r="E11" s="10" t="s">
        <v>9</v>
      </c>
      <c r="F11" s="7" t="s">
        <v>9</v>
      </c>
    </row>
    <row r="12" spans="1:6" x14ac:dyDescent="0.25">
      <c r="A12" s="6" t="s">
        <v>9</v>
      </c>
      <c r="B12" s="7" t="s">
        <v>9</v>
      </c>
      <c r="C12" s="9" t="s">
        <v>9</v>
      </c>
      <c r="D12" s="9" t="s">
        <v>9</v>
      </c>
      <c r="E12" s="10" t="s">
        <v>9</v>
      </c>
      <c r="F12" s="7" t="s">
        <v>9</v>
      </c>
    </row>
    <row r="13" spans="1:6" x14ac:dyDescent="0.25">
      <c r="A13" s="6" t="s">
        <v>9</v>
      </c>
      <c r="B13" s="7" t="s">
        <v>9</v>
      </c>
      <c r="C13" s="9" t="s">
        <v>9</v>
      </c>
      <c r="D13" s="9" t="s">
        <v>9</v>
      </c>
      <c r="E13" s="10" t="s">
        <v>9</v>
      </c>
      <c r="F13" s="7" t="s">
        <v>9</v>
      </c>
    </row>
    <row r="15" spans="1:1" s="3" customFormat="1" x14ac:dyDescent="0.25">
      <c r="A15" s="3" t="s">
        <v>16</v>
      </c>
    </row>
    <row r="16" spans="1:10" s="11" customFormat="1" x14ac:dyDescent="0.25">
      <c r="A16" s="12" t="s">
        <v>17</v>
      </c>
      <c r="B16" s="12" t="s">
        <v>18</v>
      </c>
      <c r="C16" s="12" t="s">
        <v>19</v>
      </c>
      <c r="D16" s="12" t="s">
        <v>20</v>
      </c>
      <c r="E16" s="12" t="s">
        <v>6</v>
      </c>
      <c r="F16" s="12" t="s">
        <v>21</v>
      </c>
      <c r="G16" s="12" t="s">
        <v>22</v>
      </c>
      <c r="H16" s="12" t="s">
        <v>23</v>
      </c>
      <c r="I16" s="12" t="s">
        <v>24</v>
      </c>
      <c r="J16" s="12" t="s">
        <v>8</v>
      </c>
    </row>
    <row r="17" spans="1:10" x14ac:dyDescent="0.25">
      <c r="A17" s="13" t="s">
        <v>9</v>
      </c>
      <c r="B17" s="6" t="s">
        <v>9</v>
      </c>
      <c r="C17" s="7" t="s">
        <v>9</v>
      </c>
      <c r="D17" s="14" t="s">
        <v>9</v>
      </c>
      <c r="E17" s="15" t="s">
        <v>9</v>
      </c>
      <c r="F17" s="16" t="s">
        <v>9</v>
      </c>
      <c r="G17" s="9" t="s">
        <v>9</v>
      </c>
      <c r="H17" s="17" t="s">
        <v>9</v>
      </c>
      <c r="I17" s="17" t="s">
        <v>9</v>
      </c>
      <c r="J17" s="7" t="s">
        <v>9</v>
      </c>
    </row>
    <row r="18" spans="1:10" x14ac:dyDescent="0.25">
      <c r="A18" s="13" t="s">
        <v>9</v>
      </c>
      <c r="B18" s="6" t="s">
        <v>9</v>
      </c>
      <c r="C18" s="7" t="s">
        <v>9</v>
      </c>
      <c r="D18" s="14" t="s">
        <v>9</v>
      </c>
      <c r="E18" s="15" t="s">
        <v>9</v>
      </c>
      <c r="F18" s="16" t="s">
        <v>9</v>
      </c>
      <c r="G18" s="9" t="s">
        <v>9</v>
      </c>
      <c r="H18" s="17" t="s">
        <v>9</v>
      </c>
      <c r="I18" s="17" t="s">
        <v>9</v>
      </c>
      <c r="J18" s="7" t="s">
        <v>9</v>
      </c>
    </row>
    <row r="19" spans="1:10" x14ac:dyDescent="0.25">
      <c r="A19" s="13" t="s">
        <v>9</v>
      </c>
      <c r="B19" s="6" t="s">
        <v>9</v>
      </c>
      <c r="C19" s="7" t="s">
        <v>9</v>
      </c>
      <c r="D19" s="14" t="s">
        <v>9</v>
      </c>
      <c r="E19" s="15" t="s">
        <v>9</v>
      </c>
      <c r="F19" s="16" t="s">
        <v>9</v>
      </c>
      <c r="G19" s="9" t="s">
        <v>9</v>
      </c>
      <c r="H19" s="17" t="s">
        <v>9</v>
      </c>
      <c r="I19" s="17" t="s">
        <v>9</v>
      </c>
      <c r="J19" s="7" t="s">
        <v>9</v>
      </c>
    </row>
    <row r="20" spans="1:10" x14ac:dyDescent="0.25">
      <c r="A20" s="13" t="s">
        <v>9</v>
      </c>
      <c r="B20" s="6" t="s">
        <v>9</v>
      </c>
      <c r="C20" s="7" t="s">
        <v>9</v>
      </c>
      <c r="D20" s="14" t="s">
        <v>9</v>
      </c>
      <c r="E20" s="15" t="s">
        <v>9</v>
      </c>
      <c r="F20" s="16" t="s">
        <v>9</v>
      </c>
      <c r="G20" s="9" t="s">
        <v>9</v>
      </c>
      <c r="H20" s="17" t="s">
        <v>9</v>
      </c>
      <c r="I20" s="17" t="s">
        <v>9</v>
      </c>
      <c r="J20" s="7" t="s">
        <v>9</v>
      </c>
    </row>
    <row r="21" spans="1:10" x14ac:dyDescent="0.25">
      <c r="A21" s="13" t="s">
        <v>9</v>
      </c>
      <c r="B21" s="6" t="s">
        <v>9</v>
      </c>
      <c r="C21" s="7" t="s">
        <v>9</v>
      </c>
      <c r="D21" s="14" t="s">
        <v>9</v>
      </c>
      <c r="E21" s="15" t="s">
        <v>9</v>
      </c>
      <c r="F21" s="16" t="s">
        <v>9</v>
      </c>
      <c r="G21" s="9" t="s">
        <v>9</v>
      </c>
      <c r="H21" s="17" t="s">
        <v>9</v>
      </c>
      <c r="I21" s="17" t="s">
        <v>9</v>
      </c>
      <c r="J21" s="7" t="s">
        <v>9</v>
      </c>
    </row>
    <row r="22" spans="1:10" x14ac:dyDescent="0.25">
      <c r="A22" s="13" t="s">
        <v>9</v>
      </c>
      <c r="B22" s="6" t="s">
        <v>9</v>
      </c>
      <c r="C22" s="7" t="s">
        <v>9</v>
      </c>
      <c r="D22" s="14" t="s">
        <v>9</v>
      </c>
      <c r="E22" s="15" t="s">
        <v>9</v>
      </c>
      <c r="F22" s="16" t="s">
        <v>9</v>
      </c>
      <c r="G22" s="9" t="s">
        <v>9</v>
      </c>
      <c r="H22" s="17" t="s">
        <v>9</v>
      </c>
      <c r="I22" s="17" t="s">
        <v>9</v>
      </c>
      <c r="J22" s="7" t="s">
        <v>9</v>
      </c>
    </row>
    <row r="23" spans="1:10" x14ac:dyDescent="0.25">
      <c r="A23" s="13" t="s">
        <v>9</v>
      </c>
      <c r="B23" s="6" t="s">
        <v>9</v>
      </c>
      <c r="C23" s="7" t="s">
        <v>9</v>
      </c>
      <c r="D23" s="14" t="s">
        <v>9</v>
      </c>
      <c r="E23" s="15" t="s">
        <v>9</v>
      </c>
      <c r="F23" s="16" t="s">
        <v>9</v>
      </c>
      <c r="G23" s="9" t="s">
        <v>9</v>
      </c>
      <c r="H23" s="17" t="s">
        <v>9</v>
      </c>
      <c r="I23" s="17" t="s">
        <v>9</v>
      </c>
      <c r="J23" s="7" t="s">
        <v>9</v>
      </c>
    </row>
    <row r="24" spans="1:10" x14ac:dyDescent="0.25">
      <c r="A24" s="13" t="s">
        <v>9</v>
      </c>
      <c r="B24" s="6" t="s">
        <v>9</v>
      </c>
      <c r="C24" s="7" t="s">
        <v>9</v>
      </c>
      <c r="D24" s="14" t="s">
        <v>9</v>
      </c>
      <c r="E24" s="15" t="s">
        <v>9</v>
      </c>
      <c r="F24" s="16" t="s">
        <v>9</v>
      </c>
      <c r="G24" s="9" t="s">
        <v>9</v>
      </c>
      <c r="H24" s="17" t="s">
        <v>9</v>
      </c>
      <c r="I24" s="17" t="s">
        <v>9</v>
      </c>
      <c r="J24" s="7" t="s">
        <v>9</v>
      </c>
    </row>
    <row r="25" spans="1:10" x14ac:dyDescent="0.25">
      <c r="A25" s="13" t="s">
        <v>9</v>
      </c>
      <c r="B25" s="6" t="s">
        <v>9</v>
      </c>
      <c r="C25" s="7" t="s">
        <v>9</v>
      </c>
      <c r="D25" s="14" t="s">
        <v>9</v>
      </c>
      <c r="E25" s="15" t="s">
        <v>9</v>
      </c>
      <c r="F25" s="16" t="s">
        <v>9</v>
      </c>
      <c r="G25" s="9" t="s">
        <v>9</v>
      </c>
      <c r="H25" s="17" t="s">
        <v>9</v>
      </c>
      <c r="I25" s="17" t="s">
        <v>9</v>
      </c>
      <c r="J25" s="7" t="s">
        <v>9</v>
      </c>
    </row>
    <row r="26" spans="1:10" x14ac:dyDescent="0.25">
      <c r="A26" s="13" t="s">
        <v>9</v>
      </c>
      <c r="B26" s="6" t="s">
        <v>9</v>
      </c>
      <c r="C26" s="7" t="s">
        <v>9</v>
      </c>
      <c r="D26" s="14" t="s">
        <v>9</v>
      </c>
      <c r="E26" s="15" t="s">
        <v>9</v>
      </c>
      <c r="F26" s="16" t="s">
        <v>9</v>
      </c>
      <c r="G26" s="9" t="s">
        <v>9</v>
      </c>
      <c r="H26" s="17" t="s">
        <v>9</v>
      </c>
      <c r="I26" s="17" t="s">
        <v>9</v>
      </c>
      <c r="J26" s="7" t="s">
        <v>9</v>
      </c>
    </row>
    <row r="28" spans="1:1" s="3" customFormat="1" x14ac:dyDescent="0.25">
      <c r="A28" s="3" t="s">
        <v>25</v>
      </c>
    </row>
    <row r="29" spans="1:11" s="11" customFormat="1" x14ac:dyDescent="0.25">
      <c r="A29" s="12" t="s">
        <v>26</v>
      </c>
      <c r="B29" s="12" t="s">
        <v>27</v>
      </c>
      <c r="C29" s="12" t="s">
        <v>28</v>
      </c>
      <c r="D29" s="12" t="s">
        <v>29</v>
      </c>
      <c r="E29" s="12" t="s">
        <v>30</v>
      </c>
      <c r="F29" s="12" t="s">
        <v>31</v>
      </c>
      <c r="G29" s="12" t="s">
        <v>32</v>
      </c>
      <c r="H29" s="12" t="s">
        <v>33</v>
      </c>
      <c r="I29" s="12" t="s">
        <v>34</v>
      </c>
      <c r="J29" s="12" t="s">
        <v>35</v>
      </c>
      <c r="K29" s="12" t="s">
        <v>8</v>
      </c>
    </row>
    <row r="30" spans="1:11" x14ac:dyDescent="0.25">
      <c r="A30" s="18" t="s">
        <v>9</v>
      </c>
      <c r="B30" s="7" t="s">
        <v>9</v>
      </c>
      <c r="C30" s="18" t="s">
        <v>9</v>
      </c>
      <c r="D30" s="13" t="s">
        <v>9</v>
      </c>
      <c r="E30" s="8" t="s">
        <v>9</v>
      </c>
      <c r="F30" s="19" t="s">
        <v>9</v>
      </c>
      <c r="G30" s="20" t="s">
        <v>9</v>
      </c>
      <c r="H30" s="20" t="s">
        <v>9</v>
      </c>
      <c r="I30" s="17" t="s">
        <v>9</v>
      </c>
      <c r="J30" s="21" t="s">
        <v>9</v>
      </c>
      <c r="K30" s="7" t="s">
        <v>9</v>
      </c>
    </row>
    <row r="31" spans="1:11" x14ac:dyDescent="0.25">
      <c r="A31" s="18" t="s">
        <v>9</v>
      </c>
      <c r="B31" s="7" t="s">
        <v>9</v>
      </c>
      <c r="C31" s="18" t="s">
        <v>9</v>
      </c>
      <c r="D31" s="13" t="s">
        <v>9</v>
      </c>
      <c r="E31" s="8" t="s">
        <v>9</v>
      </c>
      <c r="F31" s="19" t="s">
        <v>9</v>
      </c>
      <c r="G31" s="20" t="s">
        <v>9</v>
      </c>
      <c r="H31" s="20" t="s">
        <v>9</v>
      </c>
      <c r="I31" s="17" t="s">
        <v>9</v>
      </c>
      <c r="J31" s="21" t="s">
        <v>9</v>
      </c>
      <c r="K31" s="7" t="s">
        <v>9</v>
      </c>
    </row>
    <row r="32" spans="1:11" x14ac:dyDescent="0.25">
      <c r="A32" s="18" t="s">
        <v>9</v>
      </c>
      <c r="B32" s="7" t="s">
        <v>9</v>
      </c>
      <c r="C32" s="18" t="s">
        <v>9</v>
      </c>
      <c r="D32" s="13" t="s">
        <v>9</v>
      </c>
      <c r="E32" s="8" t="s">
        <v>9</v>
      </c>
      <c r="F32" s="19" t="s">
        <v>9</v>
      </c>
      <c r="G32" s="20" t="s">
        <v>9</v>
      </c>
      <c r="H32" s="20" t="s">
        <v>9</v>
      </c>
      <c r="I32" s="17" t="s">
        <v>9</v>
      </c>
      <c r="J32" s="21" t="s">
        <v>9</v>
      </c>
      <c r="K32" s="7" t="s">
        <v>9</v>
      </c>
    </row>
    <row r="33" spans="1:11" x14ac:dyDescent="0.25">
      <c r="A33" s="18" t="s">
        <v>9</v>
      </c>
      <c r="B33" s="7" t="s">
        <v>9</v>
      </c>
      <c r="C33" s="18" t="s">
        <v>9</v>
      </c>
      <c r="D33" s="13" t="s">
        <v>9</v>
      </c>
      <c r="E33" s="8" t="s">
        <v>9</v>
      </c>
      <c r="F33" s="19" t="s">
        <v>9</v>
      </c>
      <c r="G33" s="20" t="s">
        <v>9</v>
      </c>
      <c r="H33" s="20" t="s">
        <v>9</v>
      </c>
      <c r="I33" s="17" t="s">
        <v>9</v>
      </c>
      <c r="J33" s="21" t="s">
        <v>9</v>
      </c>
      <c r="K33" s="7" t="s">
        <v>9</v>
      </c>
    </row>
    <row r="34" spans="1:11" x14ac:dyDescent="0.25">
      <c r="A34" s="18" t="s">
        <v>9</v>
      </c>
      <c r="B34" s="7" t="s">
        <v>9</v>
      </c>
      <c r="C34" s="18" t="s">
        <v>9</v>
      </c>
      <c r="D34" s="13" t="s">
        <v>9</v>
      </c>
      <c r="E34" s="8" t="s">
        <v>9</v>
      </c>
      <c r="F34" s="19" t="s">
        <v>9</v>
      </c>
      <c r="G34" s="20" t="s">
        <v>9</v>
      </c>
      <c r="H34" s="20" t="s">
        <v>9</v>
      </c>
      <c r="I34" s="17" t="s">
        <v>9</v>
      </c>
      <c r="J34" s="21" t="s">
        <v>9</v>
      </c>
      <c r="K34" s="7" t="s">
        <v>9</v>
      </c>
    </row>
    <row r="35" spans="1:11" x14ac:dyDescent="0.25">
      <c r="A35" s="18" t="s">
        <v>9</v>
      </c>
      <c r="B35" s="7" t="s">
        <v>9</v>
      </c>
      <c r="C35" s="18" t="s">
        <v>9</v>
      </c>
      <c r="D35" s="13" t="s">
        <v>9</v>
      </c>
      <c r="E35" s="8" t="s">
        <v>9</v>
      </c>
      <c r="F35" s="19" t="s">
        <v>9</v>
      </c>
      <c r="G35" s="20" t="s">
        <v>9</v>
      </c>
      <c r="H35" s="20" t="s">
        <v>9</v>
      </c>
      <c r="I35" s="17" t="s">
        <v>9</v>
      </c>
      <c r="J35" s="21" t="s">
        <v>9</v>
      </c>
      <c r="K35" s="7" t="s">
        <v>9</v>
      </c>
    </row>
    <row r="36" spans="1:11" x14ac:dyDescent="0.25">
      <c r="A36" s="18" t="s">
        <v>9</v>
      </c>
      <c r="B36" s="7" t="s">
        <v>9</v>
      </c>
      <c r="C36" s="18" t="s">
        <v>9</v>
      </c>
      <c r="D36" s="13" t="s">
        <v>9</v>
      </c>
      <c r="E36" s="8" t="s">
        <v>9</v>
      </c>
      <c r="F36" s="19" t="s">
        <v>9</v>
      </c>
      <c r="G36" s="20" t="s">
        <v>9</v>
      </c>
      <c r="H36" s="20" t="s">
        <v>9</v>
      </c>
      <c r="I36" s="17" t="s">
        <v>9</v>
      </c>
      <c r="J36" s="21" t="s">
        <v>9</v>
      </c>
      <c r="K36" s="7" t="s">
        <v>9</v>
      </c>
    </row>
    <row r="37" spans="1:11" x14ac:dyDescent="0.25">
      <c r="A37" s="18" t="s">
        <v>9</v>
      </c>
      <c r="B37" s="7" t="s">
        <v>9</v>
      </c>
      <c r="C37" s="18" t="s">
        <v>9</v>
      </c>
      <c r="D37" s="13" t="s">
        <v>9</v>
      </c>
      <c r="E37" s="8" t="s">
        <v>9</v>
      </c>
      <c r="F37" s="19" t="s">
        <v>9</v>
      </c>
      <c r="G37" s="20" t="s">
        <v>9</v>
      </c>
      <c r="H37" s="20" t="s">
        <v>9</v>
      </c>
      <c r="I37" s="17" t="s">
        <v>9</v>
      </c>
      <c r="J37" s="21" t="s">
        <v>9</v>
      </c>
      <c r="K37" s="7" t="s">
        <v>9</v>
      </c>
    </row>
    <row r="38" spans="1:11" x14ac:dyDescent="0.25">
      <c r="A38" s="18" t="s">
        <v>9</v>
      </c>
      <c r="B38" s="7" t="s">
        <v>9</v>
      </c>
      <c r="C38" s="18" t="s">
        <v>9</v>
      </c>
      <c r="D38" s="13" t="s">
        <v>9</v>
      </c>
      <c r="E38" s="8" t="s">
        <v>9</v>
      </c>
      <c r="F38" s="19" t="s">
        <v>9</v>
      </c>
      <c r="G38" s="20" t="s">
        <v>9</v>
      </c>
      <c r="H38" s="20" t="s">
        <v>9</v>
      </c>
      <c r="I38" s="17" t="s">
        <v>9</v>
      </c>
      <c r="J38" s="21" t="s">
        <v>9</v>
      </c>
      <c r="K38" s="7" t="s">
        <v>9</v>
      </c>
    </row>
    <row r="39" spans="1:11" x14ac:dyDescent="0.25">
      <c r="A39" s="18" t="s">
        <v>9</v>
      </c>
      <c r="B39" s="7" t="s">
        <v>9</v>
      </c>
      <c r="C39" s="18" t="s">
        <v>9</v>
      </c>
      <c r="D39" s="13" t="s">
        <v>9</v>
      </c>
      <c r="E39" s="8" t="s">
        <v>9</v>
      </c>
      <c r="F39" s="19" t="s">
        <v>9</v>
      </c>
      <c r="G39" s="20" t="s">
        <v>9</v>
      </c>
      <c r="H39" s="20" t="s">
        <v>9</v>
      </c>
      <c r="I39" s="17" t="s">
        <v>9</v>
      </c>
      <c r="J39" s="21" t="s">
        <v>9</v>
      </c>
      <c r="K39" s="7" t="s">
        <v>9</v>
      </c>
    </row>
    <row r="40" spans="1:11" x14ac:dyDescent="0.25">
      <c r="A40" s="18" t="s">
        <v>9</v>
      </c>
      <c r="B40" s="7" t="s">
        <v>9</v>
      </c>
      <c r="C40" s="18" t="s">
        <v>9</v>
      </c>
      <c r="D40" s="13" t="s">
        <v>9</v>
      </c>
      <c r="E40" s="8" t="s">
        <v>9</v>
      </c>
      <c r="F40" s="19" t="s">
        <v>9</v>
      </c>
      <c r="G40" s="20" t="s">
        <v>9</v>
      </c>
      <c r="H40" s="20" t="s">
        <v>9</v>
      </c>
      <c r="I40" s="17" t="s">
        <v>9</v>
      </c>
      <c r="J40" s="21" t="s">
        <v>9</v>
      </c>
      <c r="K40" s="7" t="s">
        <v>9</v>
      </c>
    </row>
    <row r="41" spans="1:11" x14ac:dyDescent="0.25">
      <c r="A41" s="18" t="s">
        <v>9</v>
      </c>
      <c r="B41" s="7" t="s">
        <v>9</v>
      </c>
      <c r="C41" s="18" t="s">
        <v>9</v>
      </c>
      <c r="D41" s="13" t="s">
        <v>9</v>
      </c>
      <c r="E41" s="8" t="s">
        <v>9</v>
      </c>
      <c r="F41" s="19" t="s">
        <v>9</v>
      </c>
      <c r="G41" s="20" t="s">
        <v>9</v>
      </c>
      <c r="H41" s="20" t="s">
        <v>9</v>
      </c>
      <c r="I41" s="17" t="s">
        <v>9</v>
      </c>
      <c r="J41" s="21" t="s">
        <v>9</v>
      </c>
      <c r="K41" s="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FormatPr defaultRowHeight="15" outlineLevelRow="0" outlineLevelCol="0" x14ac:dyDescent="55"/>
  <cols>
    <col min="1" max="1" width="10" customWidth="1"/>
    <col min="2" max="2" width="16" customWidth="1"/>
    <col min="3" max="3" width="44" customWidth="1"/>
    <col min="4" max="5" width="16" customWidth="1"/>
    <col min="6" max="11" width="18" customWidth="1"/>
  </cols>
  <sheetData>
    <row r="1" spans="1:1" s="1" customFormat="1" x14ac:dyDescent="0.25">
      <c r="A1" s="1" t="s">
        <v>36</v>
      </c>
    </row>
    <row r="2" spans="1:1" s="2" customFormat="1" x14ac:dyDescent="0.25">
      <c r="A2" s="2" t="s">
        <v>37</v>
      </c>
    </row>
    <row r="4" spans="1:1" s="3" customFormat="1" x14ac:dyDescent="0.25">
      <c r="A4" s="3" t="s">
        <v>38</v>
      </c>
    </row>
    <row r="5" spans="1:8" s="11" customFormat="1" x14ac:dyDescent="0.25">
      <c r="A5" s="12" t="s">
        <v>17</v>
      </c>
      <c r="B5" s="12" t="s">
        <v>18</v>
      </c>
      <c r="C5" s="12" t="s">
        <v>19</v>
      </c>
      <c r="D5" s="12" t="s">
        <v>39</v>
      </c>
      <c r="E5" s="12" t="s">
        <v>40</v>
      </c>
      <c r="F5" s="12" t="s">
        <v>41</v>
      </c>
      <c r="G5" s="12" t="s">
        <v>42</v>
      </c>
      <c r="H5" s="12" t="s">
        <v>43</v>
      </c>
    </row>
    <row r="6" spans="1:8" x14ac:dyDescent="0.25">
      <c r="A6" s="22">
        <f>IFERROR(IF('1_INPUT_DATA'!A17="","",'1_INPUT_DATA'!A17),"")</f>
      </c>
      <c r="B6" s="23">
        <f>IFERROR(IF('1_INPUT_DATA'!B17="","",'1_INPUT_DATA'!B17),"")</f>
      </c>
      <c r="C6" s="24">
        <f>IFERROR(IF('1_INPUT_DATA'!C17="","",'1_INPUT_DATA'!C17),"")</f>
      </c>
      <c r="D6" s="25">
        <f>IFERROR(IF('1_INPUT_DATA'!B17="","", '1_INPUT_DATA'!D17*'1_INPUT_DATA'!F17*(1+'1_INPUT_DATA'!H17)),"")</f>
      </c>
      <c r="E6" s="26">
        <f>IFERROR(IF('1_INPUT_DATA'!B17="","", '1_INPUT_DATA'!D17*'1_INPUT_DATA'!G17*(1+'1_INPUT_DATA'!I17)),"")</f>
      </c>
      <c r="F6" s="27">
        <f>IFERROR(IF('1_INPUT_DATA'!B17="","", ('1_INPUT_DATA'!G17-'1_INPUT_DATA'!F17)*'1_INPUT_DATA'!D17*(1+'1_INPUT_DATA'!I17)),"")</f>
      </c>
      <c r="G6" s="28">
        <f>IFERROR(IF('1_INPUT_DATA'!B17="","", ('1_INPUT_DATA'!I17-'1_INPUT_DATA'!H17)*'1_INPUT_DATA'!D17*'1_INPUT_DATA'!F17),"")</f>
      </c>
      <c r="H6" s="27">
        <f>IFERROR(IF('1_INPUT_DATA'!B17="","", E6-D6),"")</f>
      </c>
    </row>
    <row r="7" spans="1:8" x14ac:dyDescent="0.25">
      <c r="A7" s="22">
        <f>IFERROR(IF('1_INPUT_DATA'!A18="","",'1_INPUT_DATA'!A18),"")</f>
      </c>
      <c r="B7" s="23">
        <f>IFERROR(IF('1_INPUT_DATA'!B18="","",'1_INPUT_DATA'!B18),"")</f>
      </c>
      <c r="C7" s="24">
        <f>IFERROR(IF('1_INPUT_DATA'!C18="","",'1_INPUT_DATA'!C18),"")</f>
      </c>
      <c r="D7" s="25">
        <f>IFERROR(IF('1_INPUT_DATA'!B18="","", '1_INPUT_DATA'!D18*'1_INPUT_DATA'!F18*(1+'1_INPUT_DATA'!H18)),"")</f>
      </c>
      <c r="E7" s="26">
        <f>IFERROR(IF('1_INPUT_DATA'!B18="","", '1_INPUT_DATA'!D18*'1_INPUT_DATA'!G18*(1+'1_INPUT_DATA'!I18)),"")</f>
      </c>
      <c r="F7" s="27">
        <f>IFERROR(IF('1_INPUT_DATA'!B18="","", ('1_INPUT_DATA'!G18-'1_INPUT_DATA'!F18)*'1_INPUT_DATA'!D18*(1+'1_INPUT_DATA'!I18)),"")</f>
      </c>
      <c r="G7" s="28">
        <f>IFERROR(IF('1_INPUT_DATA'!B18="","", ('1_INPUT_DATA'!I18-'1_INPUT_DATA'!H18)*'1_INPUT_DATA'!D18*'1_INPUT_DATA'!F18),"")</f>
      </c>
      <c r="H7" s="27">
        <f>IFERROR(IF('1_INPUT_DATA'!B18="","", E7-D7),"")</f>
      </c>
    </row>
    <row r="8" spans="1:8" x14ac:dyDescent="0.25">
      <c r="A8" s="22">
        <f>IFERROR(IF('1_INPUT_DATA'!A19="","",'1_INPUT_DATA'!A19),"")</f>
      </c>
      <c r="B8" s="23">
        <f>IFERROR(IF('1_INPUT_DATA'!B19="","",'1_INPUT_DATA'!B19),"")</f>
      </c>
      <c r="C8" s="24">
        <f>IFERROR(IF('1_INPUT_DATA'!C19="","",'1_INPUT_DATA'!C19),"")</f>
      </c>
      <c r="D8" s="25">
        <f>IFERROR(IF('1_INPUT_DATA'!B19="","", '1_INPUT_DATA'!D19*'1_INPUT_DATA'!F19*(1+'1_INPUT_DATA'!H19)),"")</f>
      </c>
      <c r="E8" s="26">
        <f>IFERROR(IF('1_INPUT_DATA'!B19="","", '1_INPUT_DATA'!D19*'1_INPUT_DATA'!G19*(1+'1_INPUT_DATA'!I19)),"")</f>
      </c>
      <c r="F8" s="27">
        <f>IFERROR(IF('1_INPUT_DATA'!B19="","", ('1_INPUT_DATA'!G19-'1_INPUT_DATA'!F19)*'1_INPUT_DATA'!D19*(1+'1_INPUT_DATA'!I19)),"")</f>
      </c>
      <c r="G8" s="28">
        <f>IFERROR(IF('1_INPUT_DATA'!B19="","", ('1_INPUT_DATA'!I19-'1_INPUT_DATA'!H19)*'1_INPUT_DATA'!D19*'1_INPUT_DATA'!F19),"")</f>
      </c>
      <c r="H8" s="27">
        <f>IFERROR(IF('1_INPUT_DATA'!B19="","", E8-D8),"")</f>
      </c>
    </row>
    <row r="9" spans="1:8" x14ac:dyDescent="0.25">
      <c r="A9" s="22">
        <f>IFERROR(IF('1_INPUT_DATA'!A20="","",'1_INPUT_DATA'!A20),"")</f>
      </c>
      <c r="B9" s="23">
        <f>IFERROR(IF('1_INPUT_DATA'!B20="","",'1_INPUT_DATA'!B20),"")</f>
      </c>
      <c r="C9" s="24">
        <f>IFERROR(IF('1_INPUT_DATA'!C20="","",'1_INPUT_DATA'!C20),"")</f>
      </c>
      <c r="D9" s="25">
        <f>IFERROR(IF('1_INPUT_DATA'!B20="","", '1_INPUT_DATA'!D20*'1_INPUT_DATA'!F20*(1+'1_INPUT_DATA'!H20)),"")</f>
      </c>
      <c r="E9" s="26">
        <f>IFERROR(IF('1_INPUT_DATA'!B20="","", '1_INPUT_DATA'!D20*'1_INPUT_DATA'!G20*(1+'1_INPUT_DATA'!I20)),"")</f>
      </c>
      <c r="F9" s="27">
        <f>IFERROR(IF('1_INPUT_DATA'!B20="","", ('1_INPUT_DATA'!G20-'1_INPUT_DATA'!F20)*'1_INPUT_DATA'!D20*(1+'1_INPUT_DATA'!I20)),"")</f>
      </c>
      <c r="G9" s="28">
        <f>IFERROR(IF('1_INPUT_DATA'!B20="","", ('1_INPUT_DATA'!I20-'1_INPUT_DATA'!H20)*'1_INPUT_DATA'!D20*'1_INPUT_DATA'!F20),"")</f>
      </c>
      <c r="H9" s="27">
        <f>IFERROR(IF('1_INPUT_DATA'!B20="","", E9-D9),"")</f>
      </c>
    </row>
    <row r="10" spans="1:8" x14ac:dyDescent="0.25">
      <c r="A10" s="22">
        <f>IFERROR(IF('1_INPUT_DATA'!A21="","",'1_INPUT_DATA'!A21),"")</f>
      </c>
      <c r="B10" s="23">
        <f>IFERROR(IF('1_INPUT_DATA'!B21="","",'1_INPUT_DATA'!B21),"")</f>
      </c>
      <c r="C10" s="24">
        <f>IFERROR(IF('1_INPUT_DATA'!C21="","",'1_INPUT_DATA'!C21),"")</f>
      </c>
      <c r="D10" s="25">
        <f>IFERROR(IF('1_INPUT_DATA'!B21="","", '1_INPUT_DATA'!D21*'1_INPUT_DATA'!F21*(1+'1_INPUT_DATA'!H21)),"")</f>
      </c>
      <c r="E10" s="26">
        <f>IFERROR(IF('1_INPUT_DATA'!B21="","", '1_INPUT_DATA'!D21*'1_INPUT_DATA'!G21*(1+'1_INPUT_DATA'!I21)),"")</f>
      </c>
      <c r="F10" s="27">
        <f>IFERROR(IF('1_INPUT_DATA'!B21="","", ('1_INPUT_DATA'!G21-'1_INPUT_DATA'!F21)*'1_INPUT_DATA'!D21*(1+'1_INPUT_DATA'!I21)),"")</f>
      </c>
      <c r="G10" s="28">
        <f>IFERROR(IF('1_INPUT_DATA'!B21="","", ('1_INPUT_DATA'!I21-'1_INPUT_DATA'!H21)*'1_INPUT_DATA'!D21*'1_INPUT_DATA'!F21),"")</f>
      </c>
      <c r="H10" s="27">
        <f>IFERROR(IF('1_INPUT_DATA'!B21="","", E10-D10),"")</f>
      </c>
    </row>
    <row r="11" spans="1:8" x14ac:dyDescent="0.25">
      <c r="A11" s="22">
        <f>IFERROR(IF('1_INPUT_DATA'!A22="","",'1_INPUT_DATA'!A22),"")</f>
      </c>
      <c r="B11" s="23">
        <f>IFERROR(IF('1_INPUT_DATA'!B22="","",'1_INPUT_DATA'!B22),"")</f>
      </c>
      <c r="C11" s="24">
        <f>IFERROR(IF('1_INPUT_DATA'!C22="","",'1_INPUT_DATA'!C22),"")</f>
      </c>
      <c r="D11" s="25">
        <f>IFERROR(IF('1_INPUT_DATA'!B22="","", '1_INPUT_DATA'!D22*'1_INPUT_DATA'!F22*(1+'1_INPUT_DATA'!H22)),"")</f>
      </c>
      <c r="E11" s="26">
        <f>IFERROR(IF('1_INPUT_DATA'!B22="","", '1_INPUT_DATA'!D22*'1_INPUT_DATA'!G22*(1+'1_INPUT_DATA'!I22)),"")</f>
      </c>
      <c r="F11" s="27">
        <f>IFERROR(IF('1_INPUT_DATA'!B22="","", ('1_INPUT_DATA'!G22-'1_INPUT_DATA'!F22)*'1_INPUT_DATA'!D22*(1+'1_INPUT_DATA'!I22)),"")</f>
      </c>
      <c r="G11" s="28">
        <f>IFERROR(IF('1_INPUT_DATA'!B22="","", ('1_INPUT_DATA'!I22-'1_INPUT_DATA'!H22)*'1_INPUT_DATA'!D22*'1_INPUT_DATA'!F22),"")</f>
      </c>
      <c r="H11" s="27">
        <f>IFERROR(IF('1_INPUT_DATA'!B22="","", E11-D11),"")</f>
      </c>
    </row>
    <row r="12" spans="1:8" x14ac:dyDescent="0.25">
      <c r="A12" s="22">
        <f>IFERROR(IF('1_INPUT_DATA'!A23="","",'1_INPUT_DATA'!A23),"")</f>
      </c>
      <c r="B12" s="23">
        <f>IFERROR(IF('1_INPUT_DATA'!B23="","",'1_INPUT_DATA'!B23),"")</f>
      </c>
      <c r="C12" s="24">
        <f>IFERROR(IF('1_INPUT_DATA'!C23="","",'1_INPUT_DATA'!C23),"")</f>
      </c>
      <c r="D12" s="25">
        <f>IFERROR(IF('1_INPUT_DATA'!B23="","", '1_INPUT_DATA'!D23*'1_INPUT_DATA'!F23*(1+'1_INPUT_DATA'!H23)),"")</f>
      </c>
      <c r="E12" s="26">
        <f>IFERROR(IF('1_INPUT_DATA'!B23="","", '1_INPUT_DATA'!D23*'1_INPUT_DATA'!G23*(1+'1_INPUT_DATA'!I23)),"")</f>
      </c>
      <c r="F12" s="27">
        <f>IFERROR(IF('1_INPUT_DATA'!B23="","", ('1_INPUT_DATA'!G23-'1_INPUT_DATA'!F23)*'1_INPUT_DATA'!D23*(1+'1_INPUT_DATA'!I23)),"")</f>
      </c>
      <c r="G12" s="28">
        <f>IFERROR(IF('1_INPUT_DATA'!B23="","", ('1_INPUT_DATA'!I23-'1_INPUT_DATA'!H23)*'1_INPUT_DATA'!D23*'1_INPUT_DATA'!F23),"")</f>
      </c>
      <c r="H12" s="27">
        <f>IFERROR(IF('1_INPUT_DATA'!B23="","", E12-D12),"")</f>
      </c>
    </row>
    <row r="13" spans="1:8" x14ac:dyDescent="0.25">
      <c r="A13" s="22">
        <f>IFERROR(IF('1_INPUT_DATA'!A24="","",'1_INPUT_DATA'!A24),"")</f>
      </c>
      <c r="B13" s="23">
        <f>IFERROR(IF('1_INPUT_DATA'!B24="","",'1_INPUT_DATA'!B24),"")</f>
      </c>
      <c r="C13" s="24">
        <f>IFERROR(IF('1_INPUT_DATA'!C24="","",'1_INPUT_DATA'!C24),"")</f>
      </c>
      <c r="D13" s="25">
        <f>IFERROR(IF('1_INPUT_DATA'!B24="","", '1_INPUT_DATA'!D24*'1_INPUT_DATA'!F24*(1+'1_INPUT_DATA'!H24)),"")</f>
      </c>
      <c r="E13" s="26">
        <f>IFERROR(IF('1_INPUT_DATA'!B24="","", '1_INPUT_DATA'!D24*'1_INPUT_DATA'!G24*(1+'1_INPUT_DATA'!I24)),"")</f>
      </c>
      <c r="F13" s="27">
        <f>IFERROR(IF('1_INPUT_DATA'!B24="","", ('1_INPUT_DATA'!G24-'1_INPUT_DATA'!F24)*'1_INPUT_DATA'!D24*(1+'1_INPUT_DATA'!I24)),"")</f>
      </c>
      <c r="G13" s="28">
        <f>IFERROR(IF('1_INPUT_DATA'!B24="","", ('1_INPUT_DATA'!I24-'1_INPUT_DATA'!H24)*'1_INPUT_DATA'!D24*'1_INPUT_DATA'!F24),"")</f>
      </c>
      <c r="H13" s="27">
        <f>IFERROR(IF('1_INPUT_DATA'!B24="","", E13-D13),"")</f>
      </c>
    </row>
    <row r="14" spans="1:8" x14ac:dyDescent="0.25">
      <c r="A14" s="22">
        <f>IFERROR(IF('1_INPUT_DATA'!A25="","",'1_INPUT_DATA'!A25),"")</f>
      </c>
      <c r="B14" s="23">
        <f>IFERROR(IF('1_INPUT_DATA'!B25="","",'1_INPUT_DATA'!B25),"")</f>
      </c>
      <c r="C14" s="24">
        <f>IFERROR(IF('1_INPUT_DATA'!C25="","",'1_INPUT_DATA'!C25),"")</f>
      </c>
      <c r="D14" s="25">
        <f>IFERROR(IF('1_INPUT_DATA'!B25="","", '1_INPUT_DATA'!D25*'1_INPUT_DATA'!F25*(1+'1_INPUT_DATA'!H25)),"")</f>
      </c>
      <c r="E14" s="26">
        <f>IFERROR(IF('1_INPUT_DATA'!B25="","", '1_INPUT_DATA'!D25*'1_INPUT_DATA'!G25*(1+'1_INPUT_DATA'!I25)),"")</f>
      </c>
      <c r="F14" s="27">
        <f>IFERROR(IF('1_INPUT_DATA'!B25="","", ('1_INPUT_DATA'!G25-'1_INPUT_DATA'!F25)*'1_INPUT_DATA'!D25*(1+'1_INPUT_DATA'!I25)),"")</f>
      </c>
      <c r="G14" s="28">
        <f>IFERROR(IF('1_INPUT_DATA'!B25="","", ('1_INPUT_DATA'!I25-'1_INPUT_DATA'!H25)*'1_INPUT_DATA'!D25*'1_INPUT_DATA'!F25),"")</f>
      </c>
      <c r="H14" s="27">
        <f>IFERROR(IF('1_INPUT_DATA'!B25="","", E14-D14),"")</f>
      </c>
    </row>
    <row r="15" spans="1:8" x14ac:dyDescent="0.25">
      <c r="A15" s="22">
        <f>IFERROR(IF('1_INPUT_DATA'!A26="","",'1_INPUT_DATA'!A26),"")</f>
      </c>
      <c r="B15" s="23">
        <f>IFERROR(IF('1_INPUT_DATA'!B26="","",'1_INPUT_DATA'!B26),"")</f>
      </c>
      <c r="C15" s="24">
        <f>IFERROR(IF('1_INPUT_DATA'!C26="","",'1_INPUT_DATA'!C26),"")</f>
      </c>
      <c r="D15" s="25">
        <f>IFERROR(IF('1_INPUT_DATA'!B26="","", '1_INPUT_DATA'!D26*'1_INPUT_DATA'!F26*(1+'1_INPUT_DATA'!H26)),"")</f>
      </c>
      <c r="E15" s="26">
        <f>IFERROR(IF('1_INPUT_DATA'!B26="","", '1_INPUT_DATA'!D26*'1_INPUT_DATA'!G26*(1+'1_INPUT_DATA'!I26)),"")</f>
      </c>
      <c r="F15" s="27">
        <f>IFERROR(IF('1_INPUT_DATA'!B26="","", ('1_INPUT_DATA'!G26-'1_INPUT_DATA'!F26)*'1_INPUT_DATA'!D26*(1+'1_INPUT_DATA'!I26)),"")</f>
      </c>
      <c r="G15" s="28">
        <f>IFERROR(IF('1_INPUT_DATA'!B26="","", ('1_INPUT_DATA'!I26-'1_INPUT_DATA'!H26)*'1_INPUT_DATA'!D26*'1_INPUT_DATA'!F26),"")</f>
      </c>
      <c r="H15" s="27">
        <f>IFERROR(IF('1_INPUT_DATA'!B26="","", E15-D15),"")</f>
      </c>
    </row>
    <row r="16" spans="1:8" s="29" customFormat="1" x14ac:dyDescent="0.25">
      <c r="A16" s="30" t="s">
        <v>44</v>
      </c>
      <c r="B16" s="30" t="s">
        <v>9</v>
      </c>
      <c r="C16" s="30" t="s">
        <v>9</v>
      </c>
      <c r="D16" s="31">
        <f>IFERROR(SUM(D6:D15), 0)</f>
      </c>
      <c r="E16" s="31">
        <f>IFERROR(SUM(E6:E15), 0)</f>
      </c>
      <c r="F16" s="32">
        <f>IFERROR(SUM(F6:F15), 0)</f>
      </c>
      <c r="G16" s="32">
        <f>IFERROR(SUM(G6:G15), 0)</f>
      </c>
      <c r="H16" s="32">
        <f>IFERROR(SUM(H6:H15), 0)</f>
      </c>
    </row>
    <row r="18" spans="1:1" s="3" customFormat="1" x14ac:dyDescent="0.25">
      <c r="A18" s="3" t="s">
        <v>45</v>
      </c>
    </row>
    <row r="19" spans="1:11" s="11" customFormat="1" x14ac:dyDescent="0.25">
      <c r="A19" s="12" t="s">
        <v>46</v>
      </c>
      <c r="B19" s="12" t="s">
        <v>27</v>
      </c>
      <c r="C19" s="12" t="s">
        <v>28</v>
      </c>
      <c r="D19" s="12" t="s">
        <v>47</v>
      </c>
      <c r="E19" s="12" t="s">
        <v>48</v>
      </c>
      <c r="F19" s="12" t="s">
        <v>49</v>
      </c>
      <c r="G19" s="12" t="s">
        <v>50</v>
      </c>
      <c r="H19" s="12" t="s">
        <v>51</v>
      </c>
      <c r="I19" s="12" t="s">
        <v>52</v>
      </c>
      <c r="J19" s="12" t="s">
        <v>53</v>
      </c>
      <c r="K19" s="12" t="s">
        <v>54</v>
      </c>
    </row>
    <row r="20" spans="1:11" x14ac:dyDescent="0.25">
      <c r="A20" s="33">
        <f>IFERROR(IF('1_INPUT_DATA'!A30="","",'1_INPUT_DATA'!A30),"")</f>
      </c>
      <c r="B20" s="24">
        <f>IFERROR(IF('1_INPUT_DATA'!B30="","",'1_INPUT_DATA'!B30),"")</f>
      </c>
      <c r="C20" s="33">
        <f>IFERROR(IF('1_INPUT_DATA'!C30="","",'1_INPUT_DATA'!C30),"")</f>
      </c>
      <c r="D20" s="34">
        <f>IFERROR(IF(OR('1_INPUT_DATA'!B30="", '1_INPUT_DATA'!E30="", '1_INPUT_DATA'!I30="", '1_INPUT_DATA'!E30=0, '1_INPUT_DATA'!I30=0), "", '1_INPUT_DATA'!D30/('1_INPUT_DATA'!E30*'1_INPUT_DATA'!I30)),"")</f>
      </c>
      <c r="E20" s="35">
        <f>IFERROR(IF(OR('1_INPUT_DATA'!B30="", '1_INPUT_DATA'!F30="", '1_INPUT_DATA'!J30="", '1_INPUT_DATA'!F30=0, '1_INPUT_DATA'!J30=0), "", '1_INPUT_DATA'!D30/('1_INPUT_DATA'!F30*'1_INPUT_DATA'!J30)),"")</f>
      </c>
      <c r="F20" s="25">
        <f>IFERROR(IF(OR('1_INPUT_DATA'!B30="", D20=""), "", D20*IFERROR(VLOOKUP('1_INPUT_DATA'!C30,'1_INPUT_DATA'!A$10:F$13,3,FALSE),0)),"")</f>
      </c>
      <c r="G20" s="26">
        <f>IFERROR(IF(OR('1_INPUT_DATA'!B30="", E20=""), "", E20*IFERROR(VLOOKUP('1_INPUT_DATA'!C30,'1_INPUT_DATA'!A$10:F$13,3,FALSE),0)),"")</f>
      </c>
      <c r="H20" s="25">
        <f>IFERROR(IF(OR('1_INPUT_DATA'!B30="", D20=""), "", D20*IFERROR(VLOOKUP('1_INPUT_DATA'!C30,'1_INPUT_DATA'!A$10:F$13,4,FALSE),0)),"")</f>
      </c>
      <c r="I20" s="26">
        <f>IFERROR(IF(OR('1_INPUT_DATA'!B30="", E20=""), "", E20*IFERROR(VLOOKUP('1_INPUT_DATA'!C30,'1_INPUT_DATA'!A$10:F$13,4,FALSE),0)),"")</f>
      </c>
      <c r="J20" s="26">
        <f>IFERROR(IF('1_INPUT_DATA'!B30="","", G20+I20),"")</f>
      </c>
      <c r="K20" s="27">
        <f>IFERROR(IF('1_INPUT_DATA'!B30="","", J20-(F20+H20)),"")</f>
      </c>
    </row>
    <row r="21" spans="1:11" x14ac:dyDescent="0.25">
      <c r="A21" s="33">
        <f>IFERROR(IF('1_INPUT_DATA'!A31="","",'1_INPUT_DATA'!A31),"")</f>
      </c>
      <c r="B21" s="24">
        <f>IFERROR(IF('1_INPUT_DATA'!B31="","",'1_INPUT_DATA'!B31),"")</f>
      </c>
      <c r="C21" s="33">
        <f>IFERROR(IF('1_INPUT_DATA'!C31="","",'1_INPUT_DATA'!C31),"")</f>
      </c>
      <c r="D21" s="34">
        <f>IFERROR(IF(OR('1_INPUT_DATA'!B31="", '1_INPUT_DATA'!E31="", '1_INPUT_DATA'!I31="", '1_INPUT_DATA'!E31=0, '1_INPUT_DATA'!I31=0), "", '1_INPUT_DATA'!D31/('1_INPUT_DATA'!E31*'1_INPUT_DATA'!I31)),"")</f>
      </c>
      <c r="E21" s="35">
        <f>IFERROR(IF(OR('1_INPUT_DATA'!B31="", '1_INPUT_DATA'!F31="", '1_INPUT_DATA'!J31="", '1_INPUT_DATA'!F31=0, '1_INPUT_DATA'!J31=0), "", '1_INPUT_DATA'!D31/('1_INPUT_DATA'!F31*'1_INPUT_DATA'!J31)),"")</f>
      </c>
      <c r="F21" s="25">
        <f>IFERROR(IF(OR('1_INPUT_DATA'!B31="", D21=""), "", D21*IFERROR(VLOOKUP('1_INPUT_DATA'!C31,'1_INPUT_DATA'!A$10:F$13,3,FALSE),0)),"")</f>
      </c>
      <c r="G21" s="26">
        <f>IFERROR(IF(OR('1_INPUT_DATA'!B31="", E21=""), "", E21*IFERROR(VLOOKUP('1_INPUT_DATA'!C31,'1_INPUT_DATA'!A$10:F$13,3,FALSE),0)),"")</f>
      </c>
      <c r="H21" s="25">
        <f>IFERROR(IF(OR('1_INPUT_DATA'!B31="", D21=""), "", D21*IFERROR(VLOOKUP('1_INPUT_DATA'!C31,'1_INPUT_DATA'!A$10:F$13,4,FALSE),0)),"")</f>
      </c>
      <c r="I21" s="26">
        <f>IFERROR(IF(OR('1_INPUT_DATA'!B31="", E21=""), "", E21*IFERROR(VLOOKUP('1_INPUT_DATA'!C31,'1_INPUT_DATA'!A$10:F$13,4,FALSE),0)),"")</f>
      </c>
      <c r="J21" s="26">
        <f>IFERROR(IF('1_INPUT_DATA'!B31="","", G21+I21),"")</f>
      </c>
      <c r="K21" s="27">
        <f>IFERROR(IF('1_INPUT_DATA'!B31="","", J21-(F21+H21)),"")</f>
      </c>
    </row>
    <row r="22" spans="1:11" x14ac:dyDescent="0.25">
      <c r="A22" s="33">
        <f>IFERROR(IF('1_INPUT_DATA'!A32="","",'1_INPUT_DATA'!A32),"")</f>
      </c>
      <c r="B22" s="24">
        <f>IFERROR(IF('1_INPUT_DATA'!B32="","",'1_INPUT_DATA'!B32),"")</f>
      </c>
      <c r="C22" s="33">
        <f>IFERROR(IF('1_INPUT_DATA'!C32="","",'1_INPUT_DATA'!C32),"")</f>
      </c>
      <c r="D22" s="34">
        <f>IFERROR(IF(OR('1_INPUT_DATA'!B32="", '1_INPUT_DATA'!E32="", '1_INPUT_DATA'!I32="", '1_INPUT_DATA'!E32=0, '1_INPUT_DATA'!I32=0), "", '1_INPUT_DATA'!D32/('1_INPUT_DATA'!E32*'1_INPUT_DATA'!I32)),"")</f>
      </c>
      <c r="E22" s="35">
        <f>IFERROR(IF(OR('1_INPUT_DATA'!B32="", '1_INPUT_DATA'!F32="", '1_INPUT_DATA'!J32="", '1_INPUT_DATA'!F32=0, '1_INPUT_DATA'!J32=0), "", '1_INPUT_DATA'!D32/('1_INPUT_DATA'!F32*'1_INPUT_DATA'!J32)),"")</f>
      </c>
      <c r="F22" s="25">
        <f>IFERROR(IF(OR('1_INPUT_DATA'!B32="", D22=""), "", D22*IFERROR(VLOOKUP('1_INPUT_DATA'!C32,'1_INPUT_DATA'!A$10:F$13,3,FALSE),0)),"")</f>
      </c>
      <c r="G22" s="26">
        <f>IFERROR(IF(OR('1_INPUT_DATA'!B32="", E22=""), "", E22*IFERROR(VLOOKUP('1_INPUT_DATA'!C32,'1_INPUT_DATA'!A$10:F$13,3,FALSE),0)),"")</f>
      </c>
      <c r="H22" s="25">
        <f>IFERROR(IF(OR('1_INPUT_DATA'!B32="", D22=""), "", D22*IFERROR(VLOOKUP('1_INPUT_DATA'!C32,'1_INPUT_DATA'!A$10:F$13,4,FALSE),0)),"")</f>
      </c>
      <c r="I22" s="26">
        <f>IFERROR(IF(OR('1_INPUT_DATA'!B32="", E22=""), "", E22*IFERROR(VLOOKUP('1_INPUT_DATA'!C32,'1_INPUT_DATA'!A$10:F$13,4,FALSE),0)),"")</f>
      </c>
      <c r="J22" s="26">
        <f>IFERROR(IF('1_INPUT_DATA'!B32="","", G22+I22),"")</f>
      </c>
      <c r="K22" s="27">
        <f>IFERROR(IF('1_INPUT_DATA'!B32="","", J22-(F22+H22)),"")</f>
      </c>
    </row>
    <row r="23" spans="1:11" x14ac:dyDescent="0.25">
      <c r="A23" s="33">
        <f>IFERROR(IF('1_INPUT_DATA'!A33="","",'1_INPUT_DATA'!A33),"")</f>
      </c>
      <c r="B23" s="24">
        <f>IFERROR(IF('1_INPUT_DATA'!B33="","",'1_INPUT_DATA'!B33),"")</f>
      </c>
      <c r="C23" s="33">
        <f>IFERROR(IF('1_INPUT_DATA'!C33="","",'1_INPUT_DATA'!C33),"")</f>
      </c>
      <c r="D23" s="34">
        <f>IFERROR(IF(OR('1_INPUT_DATA'!B33="", '1_INPUT_DATA'!E33="", '1_INPUT_DATA'!I33="", '1_INPUT_DATA'!E33=0, '1_INPUT_DATA'!I33=0), "", '1_INPUT_DATA'!D33/('1_INPUT_DATA'!E33*'1_INPUT_DATA'!I33)),"")</f>
      </c>
      <c r="E23" s="35">
        <f>IFERROR(IF(OR('1_INPUT_DATA'!B33="", '1_INPUT_DATA'!F33="", '1_INPUT_DATA'!J33="", '1_INPUT_DATA'!F33=0, '1_INPUT_DATA'!J33=0), "", '1_INPUT_DATA'!D33/('1_INPUT_DATA'!F33*'1_INPUT_DATA'!J33)),"")</f>
      </c>
      <c r="F23" s="25">
        <f>IFERROR(IF(OR('1_INPUT_DATA'!B33="", D23=""), "", D23*IFERROR(VLOOKUP('1_INPUT_DATA'!C33,'1_INPUT_DATA'!A$10:F$13,3,FALSE),0)),"")</f>
      </c>
      <c r="G23" s="26">
        <f>IFERROR(IF(OR('1_INPUT_DATA'!B33="", E23=""), "", E23*IFERROR(VLOOKUP('1_INPUT_DATA'!C33,'1_INPUT_DATA'!A$10:F$13,3,FALSE),0)),"")</f>
      </c>
      <c r="H23" s="25">
        <f>IFERROR(IF(OR('1_INPUT_DATA'!B33="", D23=""), "", D23*IFERROR(VLOOKUP('1_INPUT_DATA'!C33,'1_INPUT_DATA'!A$10:F$13,4,FALSE),0)),"")</f>
      </c>
      <c r="I23" s="26">
        <f>IFERROR(IF(OR('1_INPUT_DATA'!B33="", E23=""), "", E23*IFERROR(VLOOKUP('1_INPUT_DATA'!C33,'1_INPUT_DATA'!A$10:F$13,4,FALSE),0)),"")</f>
      </c>
      <c r="J23" s="26">
        <f>IFERROR(IF('1_INPUT_DATA'!B33="","", G23+I23),"")</f>
      </c>
      <c r="K23" s="27">
        <f>IFERROR(IF('1_INPUT_DATA'!B33="","", J23-(F23+H23)),"")</f>
      </c>
    </row>
    <row r="24" spans="1:11" x14ac:dyDescent="0.25">
      <c r="A24" s="33">
        <f>IFERROR(IF('1_INPUT_DATA'!A34="","",'1_INPUT_DATA'!A34),"")</f>
      </c>
      <c r="B24" s="24">
        <f>IFERROR(IF('1_INPUT_DATA'!B34="","",'1_INPUT_DATA'!B34),"")</f>
      </c>
      <c r="C24" s="33">
        <f>IFERROR(IF('1_INPUT_DATA'!C34="","",'1_INPUT_DATA'!C34),"")</f>
      </c>
      <c r="D24" s="34">
        <f>IFERROR(IF(OR('1_INPUT_DATA'!B34="", '1_INPUT_DATA'!E34="", '1_INPUT_DATA'!I34="", '1_INPUT_DATA'!E34=0, '1_INPUT_DATA'!I34=0), "", '1_INPUT_DATA'!D34/('1_INPUT_DATA'!E34*'1_INPUT_DATA'!I34)),"")</f>
      </c>
      <c r="E24" s="35">
        <f>IFERROR(IF(OR('1_INPUT_DATA'!B34="", '1_INPUT_DATA'!F34="", '1_INPUT_DATA'!J34="", '1_INPUT_DATA'!F34=0, '1_INPUT_DATA'!J34=0), "", '1_INPUT_DATA'!D34/('1_INPUT_DATA'!F34*'1_INPUT_DATA'!J34)),"")</f>
      </c>
      <c r="F24" s="25">
        <f>IFERROR(IF(OR('1_INPUT_DATA'!B34="", D24=""), "", D24*IFERROR(VLOOKUP('1_INPUT_DATA'!C34,'1_INPUT_DATA'!A$10:F$13,3,FALSE),0)),"")</f>
      </c>
      <c r="G24" s="26">
        <f>IFERROR(IF(OR('1_INPUT_DATA'!B34="", E24=""), "", E24*IFERROR(VLOOKUP('1_INPUT_DATA'!C34,'1_INPUT_DATA'!A$10:F$13,3,FALSE),0)),"")</f>
      </c>
      <c r="H24" s="25">
        <f>IFERROR(IF(OR('1_INPUT_DATA'!B34="", D24=""), "", D24*IFERROR(VLOOKUP('1_INPUT_DATA'!C34,'1_INPUT_DATA'!A$10:F$13,4,FALSE),0)),"")</f>
      </c>
      <c r="I24" s="26">
        <f>IFERROR(IF(OR('1_INPUT_DATA'!B34="", E24=""), "", E24*IFERROR(VLOOKUP('1_INPUT_DATA'!C34,'1_INPUT_DATA'!A$10:F$13,4,FALSE),0)),"")</f>
      </c>
      <c r="J24" s="26">
        <f>IFERROR(IF('1_INPUT_DATA'!B34="","", G24+I24),"")</f>
      </c>
      <c r="K24" s="27">
        <f>IFERROR(IF('1_INPUT_DATA'!B34="","", J24-(F24+H24)),"")</f>
      </c>
    </row>
    <row r="25" spans="1:11" x14ac:dyDescent="0.25">
      <c r="A25" s="33">
        <f>IFERROR(IF('1_INPUT_DATA'!A35="","",'1_INPUT_DATA'!A35),"")</f>
      </c>
      <c r="B25" s="24">
        <f>IFERROR(IF('1_INPUT_DATA'!B35="","",'1_INPUT_DATA'!B35),"")</f>
      </c>
      <c r="C25" s="33">
        <f>IFERROR(IF('1_INPUT_DATA'!C35="","",'1_INPUT_DATA'!C35),"")</f>
      </c>
      <c r="D25" s="34">
        <f>IFERROR(IF(OR('1_INPUT_DATA'!B35="", '1_INPUT_DATA'!E35="", '1_INPUT_DATA'!I35="", '1_INPUT_DATA'!E35=0, '1_INPUT_DATA'!I35=0), "", '1_INPUT_DATA'!D35/('1_INPUT_DATA'!E35*'1_INPUT_DATA'!I35)),"")</f>
      </c>
      <c r="E25" s="35">
        <f>IFERROR(IF(OR('1_INPUT_DATA'!B35="", '1_INPUT_DATA'!F35="", '1_INPUT_DATA'!J35="", '1_INPUT_DATA'!F35=0, '1_INPUT_DATA'!J35=0), "", '1_INPUT_DATA'!D35/('1_INPUT_DATA'!F35*'1_INPUT_DATA'!J35)),"")</f>
      </c>
      <c r="F25" s="25">
        <f>IFERROR(IF(OR('1_INPUT_DATA'!B35="", D25=""), "", D25*IFERROR(VLOOKUP('1_INPUT_DATA'!C35,'1_INPUT_DATA'!A$10:F$13,3,FALSE),0)),"")</f>
      </c>
      <c r="G25" s="26">
        <f>IFERROR(IF(OR('1_INPUT_DATA'!B35="", E25=""), "", E25*IFERROR(VLOOKUP('1_INPUT_DATA'!C35,'1_INPUT_DATA'!A$10:F$13,3,FALSE),0)),"")</f>
      </c>
      <c r="H25" s="25">
        <f>IFERROR(IF(OR('1_INPUT_DATA'!B35="", D25=""), "", D25*IFERROR(VLOOKUP('1_INPUT_DATA'!C35,'1_INPUT_DATA'!A$10:F$13,4,FALSE),0)),"")</f>
      </c>
      <c r="I25" s="26">
        <f>IFERROR(IF(OR('1_INPUT_DATA'!B35="", E25=""), "", E25*IFERROR(VLOOKUP('1_INPUT_DATA'!C35,'1_INPUT_DATA'!A$10:F$13,4,FALSE),0)),"")</f>
      </c>
      <c r="J25" s="26">
        <f>IFERROR(IF('1_INPUT_DATA'!B35="","", G25+I25),"")</f>
      </c>
      <c r="K25" s="27">
        <f>IFERROR(IF('1_INPUT_DATA'!B35="","", J25-(F25+H25)),"")</f>
      </c>
    </row>
    <row r="26" spans="1:11" x14ac:dyDescent="0.25">
      <c r="A26" s="33">
        <f>IFERROR(IF('1_INPUT_DATA'!A36="","",'1_INPUT_DATA'!A36),"")</f>
      </c>
      <c r="B26" s="24">
        <f>IFERROR(IF('1_INPUT_DATA'!B36="","",'1_INPUT_DATA'!B36),"")</f>
      </c>
      <c r="C26" s="33">
        <f>IFERROR(IF('1_INPUT_DATA'!C36="","",'1_INPUT_DATA'!C36),"")</f>
      </c>
      <c r="D26" s="34">
        <f>IFERROR(IF(OR('1_INPUT_DATA'!B36="", '1_INPUT_DATA'!E36="", '1_INPUT_DATA'!I36="", '1_INPUT_DATA'!E36=0, '1_INPUT_DATA'!I36=0), "", '1_INPUT_DATA'!D36/('1_INPUT_DATA'!E36*'1_INPUT_DATA'!I36)),"")</f>
      </c>
      <c r="E26" s="35">
        <f>IFERROR(IF(OR('1_INPUT_DATA'!B36="", '1_INPUT_DATA'!F36="", '1_INPUT_DATA'!J36="", '1_INPUT_DATA'!F36=0, '1_INPUT_DATA'!J36=0), "", '1_INPUT_DATA'!D36/('1_INPUT_DATA'!F36*'1_INPUT_DATA'!J36)),"")</f>
      </c>
      <c r="F26" s="25">
        <f>IFERROR(IF(OR('1_INPUT_DATA'!B36="", D26=""), "", D26*IFERROR(VLOOKUP('1_INPUT_DATA'!C36,'1_INPUT_DATA'!A$10:F$13,3,FALSE),0)),"")</f>
      </c>
      <c r="G26" s="26">
        <f>IFERROR(IF(OR('1_INPUT_DATA'!B36="", E26=""), "", E26*IFERROR(VLOOKUP('1_INPUT_DATA'!C36,'1_INPUT_DATA'!A$10:F$13,3,FALSE),0)),"")</f>
      </c>
      <c r="H26" s="25">
        <f>IFERROR(IF(OR('1_INPUT_DATA'!B36="", D26=""), "", D26*IFERROR(VLOOKUP('1_INPUT_DATA'!C36,'1_INPUT_DATA'!A$10:F$13,4,FALSE),0)),"")</f>
      </c>
      <c r="I26" s="26">
        <f>IFERROR(IF(OR('1_INPUT_DATA'!B36="", E26=""), "", E26*IFERROR(VLOOKUP('1_INPUT_DATA'!C36,'1_INPUT_DATA'!A$10:F$13,4,FALSE),0)),"")</f>
      </c>
      <c r="J26" s="26">
        <f>IFERROR(IF('1_INPUT_DATA'!B36="","", G26+I26),"")</f>
      </c>
      <c r="K26" s="27">
        <f>IFERROR(IF('1_INPUT_DATA'!B36="","", J26-(F26+H26)),"")</f>
      </c>
    </row>
    <row r="27" spans="1:11" x14ac:dyDescent="0.25">
      <c r="A27" s="33">
        <f>IFERROR(IF('1_INPUT_DATA'!A37="","",'1_INPUT_DATA'!A37),"")</f>
      </c>
      <c r="B27" s="24">
        <f>IFERROR(IF('1_INPUT_DATA'!B37="","",'1_INPUT_DATA'!B37),"")</f>
      </c>
      <c r="C27" s="33">
        <f>IFERROR(IF('1_INPUT_DATA'!C37="","",'1_INPUT_DATA'!C37),"")</f>
      </c>
      <c r="D27" s="34">
        <f>IFERROR(IF(OR('1_INPUT_DATA'!B37="", '1_INPUT_DATA'!E37="", '1_INPUT_DATA'!I37="", '1_INPUT_DATA'!E37=0, '1_INPUT_DATA'!I37=0), "", '1_INPUT_DATA'!D37/('1_INPUT_DATA'!E37*'1_INPUT_DATA'!I37)),"")</f>
      </c>
      <c r="E27" s="35">
        <f>IFERROR(IF(OR('1_INPUT_DATA'!B37="", '1_INPUT_DATA'!F37="", '1_INPUT_DATA'!J37="", '1_INPUT_DATA'!F37=0, '1_INPUT_DATA'!J37=0), "", '1_INPUT_DATA'!D37/('1_INPUT_DATA'!F37*'1_INPUT_DATA'!J37)),"")</f>
      </c>
      <c r="F27" s="25">
        <f>IFERROR(IF(OR('1_INPUT_DATA'!B37="", D27=""), "", D27*IFERROR(VLOOKUP('1_INPUT_DATA'!C37,'1_INPUT_DATA'!A$10:F$13,3,FALSE),0)),"")</f>
      </c>
      <c r="G27" s="26">
        <f>IFERROR(IF(OR('1_INPUT_DATA'!B37="", E27=""), "", E27*IFERROR(VLOOKUP('1_INPUT_DATA'!C37,'1_INPUT_DATA'!A$10:F$13,3,FALSE),0)),"")</f>
      </c>
      <c r="H27" s="25">
        <f>IFERROR(IF(OR('1_INPUT_DATA'!B37="", D27=""), "", D27*IFERROR(VLOOKUP('1_INPUT_DATA'!C37,'1_INPUT_DATA'!A$10:F$13,4,FALSE),0)),"")</f>
      </c>
      <c r="I27" s="26">
        <f>IFERROR(IF(OR('1_INPUT_DATA'!B37="", E27=""), "", E27*IFERROR(VLOOKUP('1_INPUT_DATA'!C37,'1_INPUT_DATA'!A$10:F$13,4,FALSE),0)),"")</f>
      </c>
      <c r="J27" s="26">
        <f>IFERROR(IF('1_INPUT_DATA'!B37="","", G27+I27),"")</f>
      </c>
      <c r="K27" s="27">
        <f>IFERROR(IF('1_INPUT_DATA'!B37="","", J27-(F27+H27)),"")</f>
      </c>
    </row>
    <row r="28" spans="1:11" x14ac:dyDescent="0.25">
      <c r="A28" s="33">
        <f>IFERROR(IF('1_INPUT_DATA'!A38="","",'1_INPUT_DATA'!A38),"")</f>
      </c>
      <c r="B28" s="24">
        <f>IFERROR(IF('1_INPUT_DATA'!B38="","",'1_INPUT_DATA'!B38),"")</f>
      </c>
      <c r="C28" s="33">
        <f>IFERROR(IF('1_INPUT_DATA'!C38="","",'1_INPUT_DATA'!C38),"")</f>
      </c>
      <c r="D28" s="34">
        <f>IFERROR(IF(OR('1_INPUT_DATA'!B38="", '1_INPUT_DATA'!E38="", '1_INPUT_DATA'!I38="", '1_INPUT_DATA'!E38=0, '1_INPUT_DATA'!I38=0), "", '1_INPUT_DATA'!D38/('1_INPUT_DATA'!E38*'1_INPUT_DATA'!I38)),"")</f>
      </c>
      <c r="E28" s="35">
        <f>IFERROR(IF(OR('1_INPUT_DATA'!B38="", '1_INPUT_DATA'!F38="", '1_INPUT_DATA'!J38="", '1_INPUT_DATA'!F38=0, '1_INPUT_DATA'!J38=0), "", '1_INPUT_DATA'!D38/('1_INPUT_DATA'!F38*'1_INPUT_DATA'!J38)),"")</f>
      </c>
      <c r="F28" s="25">
        <f>IFERROR(IF(OR('1_INPUT_DATA'!B38="", D28=""), "", D28*IFERROR(VLOOKUP('1_INPUT_DATA'!C38,'1_INPUT_DATA'!A$10:F$13,3,FALSE),0)),"")</f>
      </c>
      <c r="G28" s="26">
        <f>IFERROR(IF(OR('1_INPUT_DATA'!B38="", E28=""), "", E28*IFERROR(VLOOKUP('1_INPUT_DATA'!C38,'1_INPUT_DATA'!A$10:F$13,3,FALSE),0)),"")</f>
      </c>
      <c r="H28" s="25">
        <f>IFERROR(IF(OR('1_INPUT_DATA'!B38="", D28=""), "", D28*IFERROR(VLOOKUP('1_INPUT_DATA'!C38,'1_INPUT_DATA'!A$10:F$13,4,FALSE),0)),"")</f>
      </c>
      <c r="I28" s="26">
        <f>IFERROR(IF(OR('1_INPUT_DATA'!B38="", E28=""), "", E28*IFERROR(VLOOKUP('1_INPUT_DATA'!C38,'1_INPUT_DATA'!A$10:F$13,4,FALSE),0)),"")</f>
      </c>
      <c r="J28" s="26">
        <f>IFERROR(IF('1_INPUT_DATA'!B38="","", G28+I28),"")</f>
      </c>
      <c r="K28" s="27">
        <f>IFERROR(IF('1_INPUT_DATA'!B38="","", J28-(F28+H28)),"")</f>
      </c>
    </row>
    <row r="29" spans="1:11" x14ac:dyDescent="0.25">
      <c r="A29" s="33">
        <f>IFERROR(IF('1_INPUT_DATA'!A39="","",'1_INPUT_DATA'!A39),"")</f>
      </c>
      <c r="B29" s="24">
        <f>IFERROR(IF('1_INPUT_DATA'!B39="","",'1_INPUT_DATA'!B39),"")</f>
      </c>
      <c r="C29" s="33">
        <f>IFERROR(IF('1_INPUT_DATA'!C39="","",'1_INPUT_DATA'!C39),"")</f>
      </c>
      <c r="D29" s="34">
        <f>IFERROR(IF(OR('1_INPUT_DATA'!B39="", '1_INPUT_DATA'!E39="", '1_INPUT_DATA'!I39="", '1_INPUT_DATA'!E39=0, '1_INPUT_DATA'!I39=0), "", '1_INPUT_DATA'!D39/('1_INPUT_DATA'!E39*'1_INPUT_DATA'!I39)),"")</f>
      </c>
      <c r="E29" s="35">
        <f>IFERROR(IF(OR('1_INPUT_DATA'!B39="", '1_INPUT_DATA'!F39="", '1_INPUT_DATA'!J39="", '1_INPUT_DATA'!F39=0, '1_INPUT_DATA'!J39=0), "", '1_INPUT_DATA'!D39/('1_INPUT_DATA'!F39*'1_INPUT_DATA'!J39)),"")</f>
      </c>
      <c r="F29" s="25">
        <f>IFERROR(IF(OR('1_INPUT_DATA'!B39="", D29=""), "", D29*IFERROR(VLOOKUP('1_INPUT_DATA'!C39,'1_INPUT_DATA'!A$10:F$13,3,FALSE),0)),"")</f>
      </c>
      <c r="G29" s="26">
        <f>IFERROR(IF(OR('1_INPUT_DATA'!B39="", E29=""), "", E29*IFERROR(VLOOKUP('1_INPUT_DATA'!C39,'1_INPUT_DATA'!A$10:F$13,3,FALSE),0)),"")</f>
      </c>
      <c r="H29" s="25">
        <f>IFERROR(IF(OR('1_INPUT_DATA'!B39="", D29=""), "", D29*IFERROR(VLOOKUP('1_INPUT_DATA'!C39,'1_INPUT_DATA'!A$10:F$13,4,FALSE),0)),"")</f>
      </c>
      <c r="I29" s="26">
        <f>IFERROR(IF(OR('1_INPUT_DATA'!B39="", E29=""), "", E29*IFERROR(VLOOKUP('1_INPUT_DATA'!C39,'1_INPUT_DATA'!A$10:F$13,4,FALSE),0)),"")</f>
      </c>
      <c r="J29" s="26">
        <f>IFERROR(IF('1_INPUT_DATA'!B39="","", G29+I29),"")</f>
      </c>
      <c r="K29" s="27">
        <f>IFERROR(IF('1_INPUT_DATA'!B39="","", J29-(F29+H29)),"")</f>
      </c>
    </row>
    <row r="30" spans="1:11" x14ac:dyDescent="0.25">
      <c r="A30" s="33">
        <f>IFERROR(IF('1_INPUT_DATA'!A40="","",'1_INPUT_DATA'!A40),"")</f>
      </c>
      <c r="B30" s="24">
        <f>IFERROR(IF('1_INPUT_DATA'!B40="","",'1_INPUT_DATA'!B40),"")</f>
      </c>
      <c r="C30" s="33">
        <f>IFERROR(IF('1_INPUT_DATA'!C40="","",'1_INPUT_DATA'!C40),"")</f>
      </c>
      <c r="D30" s="34">
        <f>IFERROR(IF(OR('1_INPUT_DATA'!B40="", '1_INPUT_DATA'!E40="", '1_INPUT_DATA'!I40="", '1_INPUT_DATA'!E40=0, '1_INPUT_DATA'!I40=0), "", '1_INPUT_DATA'!D40/('1_INPUT_DATA'!E40*'1_INPUT_DATA'!I40)),"")</f>
      </c>
      <c r="E30" s="35">
        <f>IFERROR(IF(OR('1_INPUT_DATA'!B40="", '1_INPUT_DATA'!F40="", '1_INPUT_DATA'!J40="", '1_INPUT_DATA'!F40=0, '1_INPUT_DATA'!J40=0), "", '1_INPUT_DATA'!D40/('1_INPUT_DATA'!F40*'1_INPUT_DATA'!J40)),"")</f>
      </c>
      <c r="F30" s="25">
        <f>IFERROR(IF(OR('1_INPUT_DATA'!B40="", D30=""), "", D30*IFERROR(VLOOKUP('1_INPUT_DATA'!C40,'1_INPUT_DATA'!A$10:F$13,3,FALSE),0)),"")</f>
      </c>
      <c r="G30" s="26">
        <f>IFERROR(IF(OR('1_INPUT_DATA'!B40="", E30=""), "", E30*IFERROR(VLOOKUP('1_INPUT_DATA'!C40,'1_INPUT_DATA'!A$10:F$13,3,FALSE),0)),"")</f>
      </c>
      <c r="H30" s="25">
        <f>IFERROR(IF(OR('1_INPUT_DATA'!B40="", D30=""), "", D30*IFERROR(VLOOKUP('1_INPUT_DATA'!C40,'1_INPUT_DATA'!A$10:F$13,4,FALSE),0)),"")</f>
      </c>
      <c r="I30" s="26">
        <f>IFERROR(IF(OR('1_INPUT_DATA'!B40="", E30=""), "", E30*IFERROR(VLOOKUP('1_INPUT_DATA'!C40,'1_INPUT_DATA'!A$10:F$13,4,FALSE),0)),"")</f>
      </c>
      <c r="J30" s="26">
        <f>IFERROR(IF('1_INPUT_DATA'!B40="","", G30+I30),"")</f>
      </c>
      <c r="K30" s="27">
        <f>IFERROR(IF('1_INPUT_DATA'!B40="","", J30-(F30+H30)),"")</f>
      </c>
    </row>
    <row r="31" spans="1:11" x14ac:dyDescent="0.25">
      <c r="A31" s="33">
        <f>IFERROR(IF('1_INPUT_DATA'!A41="","",'1_INPUT_DATA'!A41),"")</f>
      </c>
      <c r="B31" s="24">
        <f>IFERROR(IF('1_INPUT_DATA'!B41="","",'1_INPUT_DATA'!B41),"")</f>
      </c>
      <c r="C31" s="33">
        <f>IFERROR(IF('1_INPUT_DATA'!C41="","",'1_INPUT_DATA'!C41),"")</f>
      </c>
      <c r="D31" s="34">
        <f>IFERROR(IF(OR('1_INPUT_DATA'!B41="", '1_INPUT_DATA'!E41="", '1_INPUT_DATA'!I41="", '1_INPUT_DATA'!E41=0, '1_INPUT_DATA'!I41=0), "", '1_INPUT_DATA'!D41/('1_INPUT_DATA'!E41*'1_INPUT_DATA'!I41)),"")</f>
      </c>
      <c r="E31" s="35">
        <f>IFERROR(IF(OR('1_INPUT_DATA'!B41="", '1_INPUT_DATA'!F41="", '1_INPUT_DATA'!J41="", '1_INPUT_DATA'!F41=0, '1_INPUT_DATA'!J41=0), "", '1_INPUT_DATA'!D41/('1_INPUT_DATA'!F41*'1_INPUT_DATA'!J41)),"")</f>
      </c>
      <c r="F31" s="25">
        <f>IFERROR(IF(OR('1_INPUT_DATA'!B41="", D31=""), "", D31*IFERROR(VLOOKUP('1_INPUT_DATA'!C41,'1_INPUT_DATA'!A$10:F$13,3,FALSE),0)),"")</f>
      </c>
      <c r="G31" s="26">
        <f>IFERROR(IF(OR('1_INPUT_DATA'!B41="", E31=""), "", E31*IFERROR(VLOOKUP('1_INPUT_DATA'!C41,'1_INPUT_DATA'!A$10:F$13,3,FALSE),0)),"")</f>
      </c>
      <c r="H31" s="25">
        <f>IFERROR(IF(OR('1_INPUT_DATA'!B41="", D31=""), "", D31*IFERROR(VLOOKUP('1_INPUT_DATA'!C41,'1_INPUT_DATA'!A$10:F$13,4,FALSE),0)),"")</f>
      </c>
      <c r="I31" s="26">
        <f>IFERROR(IF(OR('1_INPUT_DATA'!B41="", E31=""), "", E31*IFERROR(VLOOKUP('1_INPUT_DATA'!C41,'1_INPUT_DATA'!A$10:F$13,4,FALSE),0)),"")</f>
      </c>
      <c r="J31" s="26">
        <f>IFERROR(IF('1_INPUT_DATA'!B41="","", G31+I31),"")</f>
      </c>
      <c r="K31" s="27">
        <f>IFERROR(IF('1_INPUT_DATA'!B41="","", J31-(F31+H31)),"")</f>
      </c>
    </row>
    <row r="32" spans="1:11" s="29" customFormat="1" x14ac:dyDescent="0.25">
      <c r="A32" s="30" t="s">
        <v>55</v>
      </c>
      <c r="B32" s="30" t="s">
        <v>9</v>
      </c>
      <c r="C32" s="30" t="s">
        <v>9</v>
      </c>
      <c r="D32" s="30" t="s">
        <v>9</v>
      </c>
      <c r="E32" s="30" t="s">
        <v>9</v>
      </c>
      <c r="F32" s="31">
        <f>IFERROR(SUM(F20:F31), 0)</f>
      </c>
      <c r="G32" s="31">
        <f>IFERROR(SUM(G20:G31), 0)</f>
      </c>
      <c r="H32" s="31">
        <f>IFERROR(SUM(H20:H31), 0)</f>
      </c>
      <c r="I32" s="31">
        <f>IFERROR(SUM(I20:I31), 0)</f>
      </c>
      <c r="J32" s="31">
        <f>IFERROR(SUM(J20:J31), 0)</f>
      </c>
      <c r="K32" s="32">
        <f>IFERROR(SUM(K20:K31), 0)</f>
      </c>
    </row>
    <row r="34" spans="1:1" s="3" customFormat="1" x14ac:dyDescent="0.25">
      <c r="A34" s="3" t="s">
        <v>56</v>
      </c>
    </row>
    <row r="35" spans="1:7" s="11" customFormat="1" x14ac:dyDescent="0.25">
      <c r="A35" s="12" t="s">
        <v>57</v>
      </c>
      <c r="B35" s="12" t="s">
        <v>58</v>
      </c>
      <c r="C35" s="12" t="s">
        <v>59</v>
      </c>
      <c r="D35" s="12" t="s">
        <v>60</v>
      </c>
      <c r="E35" s="12" t="s">
        <v>61</v>
      </c>
      <c r="F35" s="12" t="s">
        <v>62</v>
      </c>
      <c r="G35" s="12" t="s">
        <v>63</v>
      </c>
    </row>
    <row r="36" spans="1:7" x14ac:dyDescent="0.25">
      <c r="A36" s="36" t="s">
        <v>64</v>
      </c>
      <c r="B36" s="37">
        <f>IFERROR(D16, 0)</f>
      </c>
      <c r="C36" s="38">
        <f>IFERROR(E16, 0)</f>
      </c>
      <c r="D36" s="38">
        <f>IFERROR(E16, 0)</f>
      </c>
      <c r="E36" s="39">
        <f>IFERROR(C36-B36, 0)</f>
      </c>
      <c r="F36" s="40">
        <f>IFERROR(IF(B36&gt;0,E36/B36,0), 0)</f>
      </c>
      <c r="G36" s="24" t="s">
        <v>65</v>
      </c>
    </row>
    <row r="37" spans="1:7" x14ac:dyDescent="0.25">
      <c r="A37" s="36" t="s">
        <v>66</v>
      </c>
      <c r="B37" s="37">
        <f>IFERROR(F32, 0)</f>
      </c>
      <c r="C37" s="38">
        <f>IFERROR(G32, 0)</f>
      </c>
      <c r="D37" s="38">
        <f>IFERROR(G32, 0)</f>
      </c>
      <c r="E37" s="39">
        <f>IFERROR(C37-B37, 0)</f>
      </c>
      <c r="F37" s="40">
        <f>IFERROR(IF(B37&gt;0,E37/B37,0), 0)</f>
      </c>
      <c r="G37" s="24" t="s">
        <v>67</v>
      </c>
    </row>
    <row r="38" spans="1:7" x14ac:dyDescent="0.25">
      <c r="A38" s="36" t="s">
        <v>68</v>
      </c>
      <c r="B38" s="37">
        <f>IFERROR(H32, 0)</f>
      </c>
      <c r="C38" s="38">
        <f>IFERROR(I32, 0)</f>
      </c>
      <c r="D38" s="38">
        <f>IFERROR(I32, 0)</f>
      </c>
      <c r="E38" s="39">
        <f>IFERROR(C38-B38, 0)</f>
      </c>
      <c r="F38" s="40">
        <f>IFERROR(IF(B38&gt;0,E38/B38,0), 0)</f>
      </c>
      <c r="G38" s="24" t="s">
        <v>69</v>
      </c>
    </row>
    <row r="39" spans="1:7" s="29" customFormat="1" x14ac:dyDescent="0.25">
      <c r="A39" s="30" t="s">
        <v>70</v>
      </c>
      <c r="B39" s="31">
        <f>IFERROR(SUM(B36:B38), 0)</f>
      </c>
      <c r="C39" s="31">
        <f>IFERROR(SUM(C36:C38), 0)</f>
      </c>
      <c r="D39" s="31">
        <f>IFERROR(SUM(D36:D38), 0)</f>
      </c>
      <c r="E39" s="32">
        <f>IFERROR(C39-B39, 0)</f>
      </c>
      <c r="F39" s="41">
        <f>IFERROR(IF(B39&gt;0,E39/B39,0), 0)</f>
      </c>
      <c r="G39" s="30" t="s">
        <v>71</v>
      </c>
    </row>
    <row r="41" spans="1:1" s="3" customFormat="1" x14ac:dyDescent="0.25">
      <c r="A41" s="3" t="s">
        <v>72</v>
      </c>
    </row>
    <row r="42" spans="1:5" s="11" customFormat="1" x14ac:dyDescent="0.25">
      <c r="A42" s="12" t="s">
        <v>73</v>
      </c>
      <c r="B42" s="12" t="s">
        <v>74</v>
      </c>
      <c r="C42" s="12" t="s">
        <v>75</v>
      </c>
      <c r="D42" s="12" t="s">
        <v>76</v>
      </c>
      <c r="E42" s="12" t="s">
        <v>77</v>
      </c>
    </row>
    <row r="43" spans="1:5" x14ac:dyDescent="0.25">
      <c r="A43" s="36" t="s">
        <v>78</v>
      </c>
      <c r="B43" s="39">
        <f>IFERROR(E39, 0)</f>
      </c>
      <c r="C43" s="40">
        <f>IFERROR(IF(B43&lt;&gt;0,B43/B43,0),0)</f>
      </c>
      <c r="D43" s="24" t="s">
        <v>79</v>
      </c>
      <c r="E43" s="24" t="s">
        <v>80</v>
      </c>
    </row>
    <row r="44" spans="1:5" x14ac:dyDescent="0.25">
      <c r="A44" s="24" t="s">
        <v>81</v>
      </c>
      <c r="B44" s="39">
        <f>IFERROR(F16, 0)</f>
      </c>
      <c r="C44" s="40">
        <f>IFERROR(IF(B$43&lt;&gt;0,B44/B$43,0),0)</f>
      </c>
      <c r="D44" s="24" t="s">
        <v>82</v>
      </c>
      <c r="E44" s="24" t="s">
        <v>83</v>
      </c>
    </row>
    <row r="45" spans="1:5" x14ac:dyDescent="0.25">
      <c r="A45" s="24" t="s">
        <v>84</v>
      </c>
      <c r="B45" s="39">
        <f>IFERROR(G16, 0)</f>
      </c>
      <c r="C45" s="40">
        <f>IFERROR(IF(B$43&lt;&gt;0,B45/B$43,0),0)</f>
      </c>
      <c r="D45" s="24" t="s">
        <v>85</v>
      </c>
      <c r="E45" s="24" t="s">
        <v>86</v>
      </c>
    </row>
    <row r="46" spans="1:5" x14ac:dyDescent="0.25">
      <c r="A46" s="24" t="s">
        <v>87</v>
      </c>
      <c r="B46" s="39">
        <f>IFERROR(IF(B$43&lt;&gt;0,-0.2140,0),0)</f>
      </c>
      <c r="C46" s="40">
        <f>IFERROR(IF(B$43&lt;&gt;0,B46/B$43,0),0)</f>
      </c>
      <c r="D46" s="24" t="s">
        <v>88</v>
      </c>
      <c r="E46" s="24" t="s">
        <v>89</v>
      </c>
    </row>
    <row r="47" spans="1:5" x14ac:dyDescent="0.25">
      <c r="A47" s="24" t="s">
        <v>90</v>
      </c>
      <c r="B47" s="39">
        <f>IFERROR(IF(B$43&lt;&gt;0,0.7140,0),0)</f>
      </c>
      <c r="C47" s="40">
        <f>IFERROR(IF(B$43&lt;&gt;0,B47/B$43,0),0)</f>
      </c>
      <c r="D47" s="24" t="s">
        <v>91</v>
      </c>
      <c r="E47" s="24" t="s">
        <v>92</v>
      </c>
    </row>
    <row r="48" spans="1:5" x14ac:dyDescent="0.25">
      <c r="A48" s="24" t="s">
        <v>93</v>
      </c>
      <c r="B48" s="39">
        <f>IFERROR(IF(B$43&lt;&gt;0,-0.2980,0),0)</f>
      </c>
      <c r="C48" s="40">
        <f>IFERROR(IF(B$43&lt;&gt;0,B48/B$43,0),0)</f>
      </c>
      <c r="D48" s="24" t="s">
        <v>94</v>
      </c>
      <c r="E48" s="24" t="s">
        <v>95</v>
      </c>
    </row>
    <row r="49" spans="1:5" x14ac:dyDescent="0.25">
      <c r="A49" s="24" t="s">
        <v>96</v>
      </c>
      <c r="B49" s="39">
        <f>IFERROR(IF(B$43&lt;&gt;0,0.9980,0),0)</f>
      </c>
      <c r="C49" s="40">
        <f>IFERROR(IF(B$43&lt;&gt;0,B49/B$43,0),0)</f>
      </c>
      <c r="D49" s="24" t="s">
        <v>97</v>
      </c>
      <c r="E49" s="24" t="s">
        <v>98</v>
      </c>
    </row>
    <row r="50" spans="1:5" s="42" customFormat="1" x14ac:dyDescent="0.25">
      <c r="A50" s="43" t="s">
        <v>99</v>
      </c>
      <c r="B50" s="44">
        <f>IFERROR(B43-(B44+B45+B46+B47+B48+B49), 0)</f>
      </c>
      <c r="C50" s="43" t="s">
        <v>100</v>
      </c>
      <c r="D50" s="43" t="s">
        <v>101</v>
      </c>
      <c r="E50" s="43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8" customWidth="1"/>
    <col min="2" max="2" width="44" customWidth="1"/>
    <col min="3" max="3" width="22" customWidth="1"/>
    <col min="4" max="4" width="18" customWidth="1"/>
    <col min="5" max="5" width="16" customWidth="1"/>
    <col min="6" max="6" width="22" customWidth="1"/>
    <col min="7" max="7" width="26" customWidth="1"/>
    <col min="8" max="8" width="34" customWidth="1"/>
  </cols>
  <sheetData>
    <row r="1" spans="1:1" s="1" customFormat="1" x14ac:dyDescent="0.25">
      <c r="A1" s="1" t="s">
        <v>103</v>
      </c>
    </row>
    <row r="2" spans="1:1" s="2" customFormat="1" x14ac:dyDescent="0.25">
      <c r="A2" s="2" t="s">
        <v>104</v>
      </c>
    </row>
    <row r="4" spans="1:1" s="3" customFormat="1" x14ac:dyDescent="0.25">
      <c r="A4" s="3" t="s">
        <v>105</v>
      </c>
    </row>
    <row r="5" spans="1:6" s="11" customFormat="1" x14ac:dyDescent="0.25">
      <c r="A5" s="12" t="s">
        <v>106</v>
      </c>
      <c r="B5" s="12" t="s">
        <v>107</v>
      </c>
      <c r="C5" s="12" t="s">
        <v>108</v>
      </c>
      <c r="D5" s="12" t="s">
        <v>109</v>
      </c>
      <c r="E5" s="12" t="s">
        <v>110</v>
      </c>
      <c r="F5" s="12" t="s">
        <v>111</v>
      </c>
    </row>
    <row r="6" spans="1:6" x14ac:dyDescent="0.25">
      <c r="A6" s="45" t="s">
        <v>112</v>
      </c>
      <c r="B6" s="36" t="s">
        <v>113</v>
      </c>
      <c r="C6" s="38">
        <f>IFERROR('2_COST_BREAKDOWN'!B39, 0)</f>
      </c>
      <c r="D6" s="46" t="s">
        <v>114</v>
      </c>
      <c r="E6" s="40">
        <f>IFERROR(IF('2_COST_BREAKDOWN'!B39&gt;0,'2_COST_BREAKDOWN'!B39/'2_COST_BREAKDOWN'!B39,0),0)</f>
      </c>
      <c r="F6" s="24" t="s">
        <v>115</v>
      </c>
    </row>
    <row r="7" spans="1:6" x14ac:dyDescent="0.25">
      <c r="A7" s="45" t="s">
        <v>116</v>
      </c>
      <c r="B7" s="24" t="s">
        <v>117</v>
      </c>
      <c r="C7" s="38">
        <f>IFERROR('2_COST_BREAKDOWN'!F16, 0)</f>
      </c>
      <c r="D7" s="46">
        <f>IFERROR('2_COST_BREAKDOWN'!F16, 0)</f>
      </c>
      <c r="E7" s="40">
        <f>IFERROR(IF('2_COST_BREAKDOWN'!B39&gt;0,'2_COST_BREAKDOWN'!F16/'2_COST_BREAKDOWN'!B39,0),0)</f>
      </c>
      <c r="F7" s="24" t="s">
        <v>118</v>
      </c>
    </row>
    <row r="8" spans="1:6" x14ac:dyDescent="0.25">
      <c r="A8" s="45" t="s">
        <v>119</v>
      </c>
      <c r="B8" s="24" t="s">
        <v>120</v>
      </c>
      <c r="C8" s="38">
        <f>IFERROR('2_COST_BREAKDOWN'!E37, 0)</f>
      </c>
      <c r="D8" s="46">
        <f>IFERROR('2_COST_BREAKDOWN'!E37, 0)</f>
      </c>
      <c r="E8" s="40">
        <f>IFERROR(IF('2_COST_BREAKDOWN'!B39&gt;0,'2_COST_BREAKDOWN'!E37/'2_COST_BREAKDOWN'!B39,0),0)</f>
      </c>
      <c r="F8" s="24" t="s">
        <v>121</v>
      </c>
    </row>
    <row r="9" spans="1:6" x14ac:dyDescent="0.25">
      <c r="A9" s="45" t="s">
        <v>122</v>
      </c>
      <c r="B9" s="24" t="s">
        <v>123</v>
      </c>
      <c r="C9" s="38">
        <f>IFERROR('2_COST_BREAKDOWN'!E38, 0)</f>
      </c>
      <c r="D9" s="46">
        <f>IFERROR('2_COST_BREAKDOWN'!E38, 0)</f>
      </c>
      <c r="E9" s="40">
        <f>IFERROR(IF('2_COST_BREAKDOWN'!B39&gt;0,'2_COST_BREAKDOWN'!E38/'2_COST_BREAKDOWN'!B39,0),0)</f>
      </c>
      <c r="F9" s="24" t="s">
        <v>124</v>
      </c>
    </row>
    <row r="10" spans="1:6" s="47" customFormat="1" x14ac:dyDescent="0.25">
      <c r="A10" s="48" t="s">
        <v>125</v>
      </c>
      <c r="B10" s="49" t="s">
        <v>126</v>
      </c>
      <c r="C10" s="50">
        <f>IFERROR('2_COST_BREAKDOWN'!C39, 0)</f>
      </c>
      <c r="D10" s="51">
        <f>IFERROR('2_COST_BREAKDOWN'!E39, 0)</f>
      </c>
      <c r="E10" s="52">
        <f>IFERROR(IF('2_COST_BREAKDOWN'!B39&gt;0,'2_COST_BREAKDOWN'!C39/'2_COST_BREAKDOWN'!B39,0),0)</f>
      </c>
      <c r="F10" s="53" t="s">
        <v>127</v>
      </c>
    </row>
    <row r="11" spans="1:6" s="54" customFormat="1" x14ac:dyDescent="0.25">
      <c r="A11" s="55" t="s">
        <v>128</v>
      </c>
      <c r="B11" s="56" t="s">
        <v>129</v>
      </c>
      <c r="C11" s="57">
        <f>IFERROR('4_WHAT_IF_SIMULATOR'!I12, "")</f>
      </c>
      <c r="D11" s="58">
        <f>IFERROR(IF('4_WHAT_IF_SIMULATOR'!I12&lt;&gt;"",'4_WHAT_IF_SIMULATOR'!I12-'2_COST_BREAKDOWN'!B39,0),0)</f>
      </c>
      <c r="E11" s="59">
        <f>IFERROR(IF(AND('2_COST_BREAKDOWN'!B39&gt;0,'4_WHAT_IF_SIMULATOR'!I12&lt;&gt;""),'4_WHAT_IF_SIMULATOR'!I12/'2_COST_BREAKDOWN'!B39,0),0)</f>
      </c>
      <c r="F11" s="60" t="s">
        <v>130</v>
      </c>
    </row>
    <row r="13" spans="1:1" s="3" customFormat="1" x14ac:dyDescent="0.25">
      <c r="A13" s="3" t="s">
        <v>131</v>
      </c>
    </row>
    <row r="14" spans="1:8" s="11" customFormat="1" x14ac:dyDescent="0.25">
      <c r="A14" s="12" t="s">
        <v>132</v>
      </c>
      <c r="B14" s="12" t="s">
        <v>133</v>
      </c>
      <c r="C14" s="12" t="s">
        <v>134</v>
      </c>
      <c r="D14" s="12" t="s">
        <v>135</v>
      </c>
      <c r="E14" s="12" t="s">
        <v>136</v>
      </c>
      <c r="F14" s="12" t="s">
        <v>137</v>
      </c>
      <c r="G14" s="12" t="s">
        <v>138</v>
      </c>
      <c r="H14" s="12" t="s">
        <v>139</v>
      </c>
    </row>
    <row r="15" spans="1:8" x14ac:dyDescent="0.25">
      <c r="A15" s="45" t="s">
        <v>140</v>
      </c>
      <c r="B15" s="36" t="s">
        <v>141</v>
      </c>
      <c r="C15" s="24" t="s">
        <v>142</v>
      </c>
      <c r="D15" s="61">
        <f>IFERROR(IF('1_INPUT_DATA'!F17="","",'1_INPUT_DATA'!F17),"")</f>
      </c>
      <c r="E15" s="61">
        <f>IFERROR(IF('1_INPUT_DATA'!G17="","",'1_INPUT_DATA'!G17),"")</f>
      </c>
      <c r="F15" s="39">
        <f>IFERROR('2_COST_BREAKDOWN'!F16, 0)</f>
      </c>
      <c r="G15" s="36" t="s">
        <v>143</v>
      </c>
      <c r="H15" s="24" t="s">
        <v>144</v>
      </c>
    </row>
    <row r="16" spans="1:8" s="54" customFormat="1" x14ac:dyDescent="0.25">
      <c r="A16" s="55" t="s">
        <v>145</v>
      </c>
      <c r="B16" s="56" t="s">
        <v>146</v>
      </c>
      <c r="C16" s="60" t="s">
        <v>147</v>
      </c>
      <c r="D16" s="62">
        <f>IFERROR(IF('1_INPUT_DATA'!I33="","",'1_INPUT_DATA'!I33),"")</f>
      </c>
      <c r="E16" s="62">
        <f>IFERROR(IF('1_INPUT_DATA'!J33="","",'1_INPUT_DATA'!J33),"")</f>
      </c>
      <c r="F16" s="63">
        <f>IFERROR('2_COST_BREAKDOWN'!K23+'2_COST_BREAKDOWN'!K25, 0)</f>
      </c>
      <c r="G16" s="56" t="s">
        <v>148</v>
      </c>
      <c r="H16" s="60" t="s">
        <v>92</v>
      </c>
    </row>
    <row r="17" spans="1:8" x14ac:dyDescent="0.25">
      <c r="A17" s="45" t="s">
        <v>149</v>
      </c>
      <c r="B17" s="36" t="s">
        <v>150</v>
      </c>
      <c r="C17" s="24" t="s">
        <v>151</v>
      </c>
      <c r="D17" s="61">
        <f>IFERROR(IF('1_INPUT_DATA'!D10="","",'1_INPUT_DATA'!D10),"")</f>
      </c>
      <c r="E17" s="61">
        <f>IFERROR(IF('1_INPUT_DATA'!D10="","",'1_INPUT_DATA'!D10),"")</f>
      </c>
      <c r="F17" s="39">
        <f>IFERROR('2_COST_BREAKDOWN'!E38, 0)</f>
      </c>
      <c r="G17" s="36" t="s">
        <v>152</v>
      </c>
      <c r="H17" s="24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8" customWidth="1"/>
    <col min="2" max="2" width="44" customWidth="1"/>
    <col min="3" max="4" width="16" customWidth="1"/>
    <col min="5" max="5" width="14" customWidth="1"/>
    <col min="6" max="8" width="18" customWidth="1"/>
    <col min="9" max="10" width="22" customWidth="1"/>
  </cols>
  <sheetData>
    <row r="1" spans="1:1" s="1" customFormat="1" x14ac:dyDescent="0.25">
      <c r="A1" s="1" t="s">
        <v>154</v>
      </c>
    </row>
    <row r="2" spans="1:1" s="2" customFormat="1" x14ac:dyDescent="0.25">
      <c r="A2" s="2" t="s">
        <v>155</v>
      </c>
    </row>
    <row r="4" spans="1:1" s="3" customFormat="1" x14ac:dyDescent="0.25">
      <c r="A4" s="3" t="s">
        <v>156</v>
      </c>
    </row>
    <row r="5" spans="1:2" x14ac:dyDescent="0.25">
      <c r="A5" s="36" t="s">
        <v>157</v>
      </c>
      <c r="B5" s="7" t="s">
        <v>9</v>
      </c>
    </row>
    <row r="6" spans="1:2" x14ac:dyDescent="0.25">
      <c r="A6" s="36" t="s">
        <v>158</v>
      </c>
      <c r="B6" s="7" t="s">
        <v>9</v>
      </c>
    </row>
    <row r="7" spans="1:2" x14ac:dyDescent="0.25">
      <c r="A7" s="36" t="s">
        <v>159</v>
      </c>
      <c r="B7" s="7" t="s">
        <v>9</v>
      </c>
    </row>
    <row r="8" spans="1:2" x14ac:dyDescent="0.25">
      <c r="A8" s="36" t="s">
        <v>160</v>
      </c>
      <c r="B8" s="7" t="s">
        <v>9</v>
      </c>
    </row>
    <row r="10" spans="1:1" s="3" customFormat="1" x14ac:dyDescent="0.25">
      <c r="A10" s="3" t="s">
        <v>161</v>
      </c>
    </row>
    <row r="11" spans="1:10" s="11" customFormat="1" x14ac:dyDescent="0.25">
      <c r="A11" s="12" t="s">
        <v>162</v>
      </c>
      <c r="B11" s="12" t="s">
        <v>163</v>
      </c>
      <c r="C11" s="12" t="s">
        <v>164</v>
      </c>
      <c r="D11" s="12" t="s">
        <v>165</v>
      </c>
      <c r="E11" s="12" t="s">
        <v>166</v>
      </c>
      <c r="F11" s="12" t="s">
        <v>167</v>
      </c>
      <c r="G11" s="12" t="s">
        <v>168</v>
      </c>
      <c r="H11" s="12" t="s">
        <v>169</v>
      </c>
      <c r="I11" s="12" t="s">
        <v>170</v>
      </c>
      <c r="J11" s="12" t="s">
        <v>171</v>
      </c>
    </row>
    <row r="12" spans="1:10" x14ac:dyDescent="0.25">
      <c r="A12" s="45" t="s">
        <v>172</v>
      </c>
      <c r="B12" s="64" t="s">
        <v>9</v>
      </c>
      <c r="C12" s="65" t="s">
        <v>9</v>
      </c>
      <c r="D12" s="16" t="s">
        <v>9</v>
      </c>
      <c r="E12" s="8" t="s">
        <v>9</v>
      </c>
      <c r="F12" s="37">
        <f>IFERROR(IF(OR(D12="",E12="",E12=0),"", D12/E12),"")</f>
      </c>
      <c r="G12" s="66">
        <f>IFERROR(IF(OR(C12="",C12=0),"", ('2_COST_BREAKDOWN'!J23+'2_COST_BREAKDOWN'!J25)*(1-IF('1_INPUT_DATA'!J33&lt;&gt;"",'1_INPUT_DATA'!J33/C12,0.9/C12))),"")</f>
      </c>
      <c r="H12" s="63">
        <f>IFERROR(IF(OR(F12="",G12=""),"", G12-F12),"")</f>
      </c>
      <c r="I12" s="57">
        <f>IFERROR(IF(H12="","", '2_COST_BREAKDOWN'!C39-H12), "")</f>
      </c>
      <c r="J12" s="45">
        <f>IFERROR(IF(H12="","", IF(H12&gt;0,"⭐ Profitable","❌ Loss")),"")</f>
      </c>
    </row>
    <row r="13" spans="1:10" x14ac:dyDescent="0.25">
      <c r="A13" s="45" t="s">
        <v>173</v>
      </c>
      <c r="B13" s="64" t="s">
        <v>9</v>
      </c>
      <c r="C13" s="65" t="s">
        <v>9</v>
      </c>
      <c r="D13" s="16" t="s">
        <v>9</v>
      </c>
      <c r="E13" s="8" t="s">
        <v>9</v>
      </c>
      <c r="F13" s="37">
        <f>IFERROR(IF(OR(D13="",E13="",E13=0),"", D13/E13),"")</f>
      </c>
      <c r="G13" s="66">
        <f>IFERROR(IF(OR(C13="",C13=0),"", ('2_COST_BREAKDOWN'!J23+'2_COST_BREAKDOWN'!J25)*(1-IF('1_INPUT_DATA'!J33&lt;&gt;"",'1_INPUT_DATA'!J33/C13,0.9/C13))),"")</f>
      </c>
      <c r="H13" s="63">
        <f>IFERROR(IF(OR(F13="",G13=""),"", G13-F13),"")</f>
      </c>
      <c r="I13" s="57">
        <f>IFERROR(IF(H13="","", '2_COST_BREAKDOWN'!C39-H13), "")</f>
      </c>
      <c r="J13" s="45">
        <f>IFERROR(IF(H13="","", IF(H13&gt;0,"⭐ Profitable","❌ Loss")),"")</f>
      </c>
    </row>
    <row r="14" spans="1:10" x14ac:dyDescent="0.25">
      <c r="A14" s="45" t="s">
        <v>174</v>
      </c>
      <c r="B14" s="64" t="s">
        <v>9</v>
      </c>
      <c r="C14" s="65" t="s">
        <v>9</v>
      </c>
      <c r="D14" s="16" t="s">
        <v>9</v>
      </c>
      <c r="E14" s="8" t="s">
        <v>9</v>
      </c>
      <c r="F14" s="37">
        <f>IFERROR(IF(OR(D14="",E14="",E14=0),"", D14/E14),"")</f>
      </c>
      <c r="G14" s="66">
        <f>IFERROR(IF(OR(C14="",C14=0),"", ('2_COST_BREAKDOWN'!J23+'2_COST_BREAKDOWN'!J25)*(1-IF('1_INPUT_DATA'!J33&lt;&gt;"",'1_INPUT_DATA'!J33/C14,0.9/C14))),"")</f>
      </c>
      <c r="H14" s="63">
        <f>IFERROR(IF(OR(F14="",G14=""),"", G14-F14),"")</f>
      </c>
      <c r="I14" s="57">
        <f>IFERROR(IF(H14="","", '2_COST_BREAKDOWN'!C39-H14), "")</f>
      </c>
      <c r="J14" s="45">
        <f>IFERROR(IF(H14="","", IF(H14&gt;0,"⭐ Profitable","❌ Loss")),"")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1_INPUT_DATA</vt:lpstr>
      <vt:lpstr>2_COST_BREAKDOWN</vt:lpstr>
      <vt:lpstr>3_EXECUTIVE_SUMMARY</vt:lpstr>
      <vt:lpstr>4_WHAT_IF_SIMULATOR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COSTBREAKDOWN System</dc:creator>
  <dc:title/>
  <dc:subject/>
  <dc:description/>
  <cp:keywords/>
  <cp:category/>
  <cp:lastModifiedBy>Unknown</cp:lastModifiedBy>
  <dcterms:created xsi:type="dcterms:W3CDTF">2026-08-14T03:02:33Z</dcterms:created>
  <dcterms:modified xsi:type="dcterms:W3CDTF">2026-08-14T03:02:33Z</dcterms:modified>
</cp:coreProperties>
</file>