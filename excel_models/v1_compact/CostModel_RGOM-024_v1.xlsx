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filterPrivacy="1"/>
  <xr:revisionPtr revIDLastSave="0" documentId="13_ncr:1_{6C8DEAB7-98F2-41F4-8D85-FA912EFDB0C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1_INPUT_DATA" sheetId="1" r:id="rId1"/>
    <sheet name="2_COST_BREAKDOW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6" i="2" l="1"/>
  <c r="D36" i="2" s="1"/>
  <c r="D35" i="2" l="1"/>
  <c r="D15" i="2"/>
  <c r="D5" i="2" l="1"/>
  <c r="D8" i="2"/>
  <c r="E30" i="2"/>
  <c r="I30" i="2" s="1"/>
  <c r="D30" i="2"/>
  <c r="H30" i="2" s="1"/>
  <c r="C30" i="2"/>
  <c r="B30" i="2"/>
  <c r="A30" i="2"/>
  <c r="E29" i="2"/>
  <c r="G29" i="2" s="1"/>
  <c r="D29" i="2"/>
  <c r="H29" i="2" s="1"/>
  <c r="C29" i="2"/>
  <c r="B29" i="2"/>
  <c r="A29" i="2"/>
  <c r="E28" i="2"/>
  <c r="G28" i="2" s="1"/>
  <c r="D28" i="2"/>
  <c r="H28" i="2" s="1"/>
  <c r="C28" i="2"/>
  <c r="B28" i="2"/>
  <c r="A28" i="2"/>
  <c r="E27" i="2"/>
  <c r="G27" i="2" s="1"/>
  <c r="D27" i="2"/>
  <c r="F27" i="2" s="1"/>
  <c r="C27" i="2"/>
  <c r="B27" i="2"/>
  <c r="A27" i="2"/>
  <c r="E26" i="2"/>
  <c r="I26" i="2" s="1"/>
  <c r="D26" i="2"/>
  <c r="H26" i="2" s="1"/>
  <c r="C26" i="2"/>
  <c r="B26" i="2"/>
  <c r="A26" i="2"/>
  <c r="E25" i="2"/>
  <c r="G25" i="2" s="1"/>
  <c r="D25" i="2"/>
  <c r="H25" i="2" s="1"/>
  <c r="C25" i="2"/>
  <c r="B25" i="2"/>
  <c r="A25" i="2"/>
  <c r="E24" i="2"/>
  <c r="I24" i="2" s="1"/>
  <c r="D24" i="2"/>
  <c r="H24" i="2" s="1"/>
  <c r="C24" i="2"/>
  <c r="B24" i="2"/>
  <c r="A24" i="2"/>
  <c r="E23" i="2"/>
  <c r="I23" i="2" s="1"/>
  <c r="D23" i="2"/>
  <c r="H23" i="2" s="1"/>
  <c r="C23" i="2"/>
  <c r="B23" i="2"/>
  <c r="A23" i="2"/>
  <c r="E22" i="2"/>
  <c r="I22" i="2" s="1"/>
  <c r="D22" i="2"/>
  <c r="F22" i="2" s="1"/>
  <c r="C22" i="2"/>
  <c r="B22" i="2"/>
  <c r="A22" i="2"/>
  <c r="E21" i="2"/>
  <c r="I21" i="2" s="1"/>
  <c r="D21" i="2"/>
  <c r="F21" i="2" s="1"/>
  <c r="C21" i="2"/>
  <c r="B21" i="2"/>
  <c r="A21" i="2"/>
  <c r="E20" i="2"/>
  <c r="I20" i="2" s="1"/>
  <c r="D20" i="2"/>
  <c r="H20" i="2" s="1"/>
  <c r="C20" i="2"/>
  <c r="B20" i="2"/>
  <c r="A20" i="2"/>
  <c r="E19" i="2"/>
  <c r="I19" i="2" s="1"/>
  <c r="D19" i="2"/>
  <c r="F19" i="2" s="1"/>
  <c r="C19" i="2"/>
  <c r="B19" i="2"/>
  <c r="A19" i="2"/>
  <c r="G14" i="2"/>
  <c r="F14" i="2"/>
  <c r="E14" i="2"/>
  <c r="D14" i="2"/>
  <c r="B14" i="2"/>
  <c r="C14" i="2"/>
  <c r="A14" i="2"/>
  <c r="G13" i="2"/>
  <c r="F13" i="2"/>
  <c r="E13" i="2"/>
  <c r="D13" i="2"/>
  <c r="B13" i="2"/>
  <c r="C13" i="2"/>
  <c r="A13" i="2"/>
  <c r="G12" i="2"/>
  <c r="F12" i="2"/>
  <c r="E12" i="2"/>
  <c r="D12" i="2"/>
  <c r="B12" i="2"/>
  <c r="C12" i="2"/>
  <c r="A12" i="2"/>
  <c r="G11" i="2"/>
  <c r="F11" i="2"/>
  <c r="E11" i="2"/>
  <c r="D11" i="2"/>
  <c r="H11" i="2" s="1"/>
  <c r="B11" i="2"/>
  <c r="C11" i="2"/>
  <c r="A11" i="2"/>
  <c r="G10" i="2"/>
  <c r="F10" i="2"/>
  <c r="E10" i="2"/>
  <c r="D10" i="2"/>
  <c r="B10" i="2"/>
  <c r="C10" i="2"/>
  <c r="A10" i="2"/>
  <c r="G9" i="2"/>
  <c r="F9" i="2"/>
  <c r="E9" i="2"/>
  <c r="D9" i="2"/>
  <c r="B9" i="2"/>
  <c r="C9" i="2"/>
  <c r="A9" i="2"/>
  <c r="G8" i="2"/>
  <c r="F8" i="2"/>
  <c r="E8" i="2"/>
  <c r="B8" i="2"/>
  <c r="C8" i="2"/>
  <c r="A8" i="2"/>
  <c r="G7" i="2"/>
  <c r="F7" i="2"/>
  <c r="E7" i="2"/>
  <c r="D7" i="2"/>
  <c r="B7" i="2"/>
  <c r="C7" i="2"/>
  <c r="A7" i="2"/>
  <c r="G6" i="2"/>
  <c r="F6" i="2"/>
  <c r="E6" i="2"/>
  <c r="D6" i="2"/>
  <c r="B6" i="2"/>
  <c r="C6" i="2"/>
  <c r="A6" i="2"/>
  <c r="G5" i="2"/>
  <c r="F5" i="2"/>
  <c r="E5" i="2"/>
  <c r="B5" i="2"/>
  <c r="C5" i="2"/>
  <c r="A5" i="2"/>
  <c r="H5" i="2" l="1"/>
  <c r="H13" i="2"/>
  <c r="H6" i="2"/>
  <c r="H10" i="2"/>
  <c r="H9" i="2"/>
  <c r="H14" i="2"/>
  <c r="F25" i="2"/>
  <c r="H12" i="2"/>
  <c r="H19" i="2"/>
  <c r="H27" i="2"/>
  <c r="F30" i="2"/>
  <c r="H21" i="2"/>
  <c r="I27" i="2"/>
  <c r="J27" i="2" s="1"/>
  <c r="G30" i="2"/>
  <c r="J30" i="2" s="1"/>
  <c r="I28" i="2"/>
  <c r="J28" i="2" s="1"/>
  <c r="I25" i="2"/>
  <c r="G19" i="2"/>
  <c r="J19" i="2" s="1"/>
  <c r="F15" i="2"/>
  <c r="G23" i="2"/>
  <c r="J23" i="2" s="1"/>
  <c r="F26" i="2"/>
  <c r="F29" i="2"/>
  <c r="H8" i="2"/>
  <c r="B35" i="2"/>
  <c r="H7" i="2"/>
  <c r="G15" i="2"/>
  <c r="F23" i="2"/>
  <c r="E15" i="2"/>
  <c r="G20" i="2"/>
  <c r="J20" i="2" s="1"/>
  <c r="G22" i="2"/>
  <c r="J22" i="2" s="1"/>
  <c r="I29" i="2"/>
  <c r="J29" i="2" s="1"/>
  <c r="H22" i="2"/>
  <c r="F24" i="2"/>
  <c r="G24" i="2"/>
  <c r="J24" i="2" s="1"/>
  <c r="K24" i="2" s="1"/>
  <c r="F20" i="2"/>
  <c r="G26" i="2"/>
  <c r="J26" i="2" s="1"/>
  <c r="F28" i="2"/>
  <c r="G21" i="2"/>
  <c r="J21" i="2" s="1"/>
  <c r="I31" i="2" l="1"/>
  <c r="C37" i="2" s="1"/>
  <c r="K27" i="2"/>
  <c r="K23" i="2"/>
  <c r="H31" i="2"/>
  <c r="B37" i="2" s="1"/>
  <c r="H15" i="2"/>
  <c r="K30" i="2"/>
  <c r="K26" i="2"/>
  <c r="K28" i="2"/>
  <c r="K29" i="2"/>
  <c r="F31" i="2"/>
  <c r="B36" i="2" s="1"/>
  <c r="K20" i="2"/>
  <c r="J25" i="2"/>
  <c r="K25" i="2" s="1"/>
  <c r="K21" i="2"/>
  <c r="C35" i="2"/>
  <c r="K19" i="2"/>
  <c r="J31" i="2"/>
  <c r="G31" i="2"/>
  <c r="K22" i="2"/>
  <c r="B38" i="2" l="1"/>
  <c r="E36" i="2"/>
  <c r="D37" i="2"/>
  <c r="K31" i="2"/>
  <c r="C38" i="2"/>
  <c r="E35" i="2"/>
  <c r="E37" i="2" l="1"/>
  <c r="D38" i="2"/>
  <c r="E38" i="2" s="1"/>
</calcChain>
</file>

<file path=xl/sharedStrings.xml><?xml version="1.0" encoding="utf-8"?>
<sst xmlns="http://schemas.openxmlformats.org/spreadsheetml/2006/main" count="172" uniqueCount="109">
  <si>
    <t>PRODUCT INFO</t>
  </si>
  <si>
    <t>Product Code</t>
  </si>
  <si>
    <t>Product Name / Description</t>
  </si>
  <si>
    <t>UOM</t>
  </si>
  <si>
    <t>Source Reference</t>
  </si>
  <si>
    <t>RGOM-024</t>
  </si>
  <si>
    <t>PC</t>
  </si>
  <si>
    <t>Cost declare 250331</t>
  </si>
  <si>
    <t>Department Description</t>
  </si>
  <si>
    <t>Labor Rate (THB/MHr)</t>
  </si>
  <si>
    <t>Burden Rate (THB/MHr)</t>
  </si>
  <si>
    <t>Effective Date</t>
  </si>
  <si>
    <t>BZP01</t>
  </si>
  <si>
    <t>Cleanroom Printing Line</t>
  </si>
  <si>
    <t>2026-07-01</t>
  </si>
  <si>
    <t>Cost declare Rate Sheet</t>
  </si>
  <si>
    <t>BFK01</t>
  </si>
  <si>
    <t>Fabrication &amp; Die-Cutting Line</t>
  </si>
  <si>
    <t>BFP01</t>
  </si>
  <si>
    <t>Final Assembly &amp; Lamination Line</t>
  </si>
  <si>
    <t>BPP01</t>
  </si>
  <si>
    <t>Cleanroom Inspection &amp; Packing</t>
  </si>
  <si>
    <t>Item No</t>
  </si>
  <si>
    <t>Material Code</t>
  </si>
  <si>
    <t>Material Description</t>
  </si>
  <si>
    <t>Base Loss %</t>
  </si>
  <si>
    <t>Active Loss %</t>
  </si>
  <si>
    <t>RMMBA1020</t>
  </si>
  <si>
    <t>DOTITE XA-3645 Conductive Silver Paste Ink</t>
  </si>
  <si>
    <t>GM</t>
  </si>
  <si>
    <t>Price List 07-26</t>
  </si>
  <si>
    <t>RMMBA1030</t>
  </si>
  <si>
    <t>FEC-4023 Carbon Resistive Paste Ink</t>
  </si>
  <si>
    <t>RMMBA1040</t>
  </si>
  <si>
    <t>PTF-3201N UV Dielectric Insulating Paste</t>
  </si>
  <si>
    <t>RMPET1010</t>
  </si>
  <si>
    <t>PET Film FPE-1100 (25um Base Film)</t>
  </si>
  <si>
    <t>SM</t>
  </si>
  <si>
    <t>RMCVR2010</t>
  </si>
  <si>
    <t>Front Graphic Overlay Hardcoat Film</t>
  </si>
  <si>
    <t>RMADH3010</t>
  </si>
  <si>
    <t>High-Tack Acrylic Spacer Tape 3M</t>
  </si>
  <si>
    <t>RMPCK4010</t>
  </si>
  <si>
    <t>Conductive Anti-Static Shield Bag</t>
  </si>
  <si>
    <t>RMPCK4020</t>
  </si>
  <si>
    <t>Silica Gel Desiccant 5g Pack</t>
  </si>
  <si>
    <t>RMPCK4030</t>
  </si>
  <si>
    <t>Export Corrugated Shipping Carton</t>
  </si>
  <si>
    <t>RMMBA1050</t>
  </si>
  <si>
    <t>Terminal Pin Connector Clip (Ag Plated)</t>
  </si>
  <si>
    <t>Process Name</t>
  </si>
  <si>
    <t>Work Center</t>
  </si>
  <si>
    <t>Base Cycle Time (s)</t>
  </si>
  <si>
    <t>Active Cycle Time (s)</t>
  </si>
  <si>
    <t>Base Yield (%)</t>
  </si>
  <si>
    <t>Active Yield (%)</t>
  </si>
  <si>
    <t>PET Film Precision Sheet Cutting</t>
  </si>
  <si>
    <t>Optical Surface Cleaning &amp; De-ion</t>
  </si>
  <si>
    <t>Alignment Guide Punching</t>
  </si>
  <si>
    <t>Silver Conductor Circuit Screen Print</t>
  </si>
  <si>
    <t>QCF-LPN-MB-MRGOM-0024-1</t>
  </si>
  <si>
    <t>Continuous Hot Air Curing</t>
  </si>
  <si>
    <t>Carbon Overcoat Screen Print</t>
  </si>
  <si>
    <t>Electrical Function Test &amp; AOI</t>
  </si>
  <si>
    <t>Graphic Overlay Silk Screen Print</t>
  </si>
  <si>
    <t>Spacer Tape Die-Cutting &amp; Punch</t>
  </si>
  <si>
    <t>Automated Sheet Lamination</t>
  </si>
  <si>
    <t>Actuation Force &amp; Function QA</t>
  </si>
  <si>
    <t>Poly-bagging &amp; Carton Packing</t>
  </si>
  <si>
    <t>Base Cost (฿)</t>
  </si>
  <si>
    <t>Active Cost (฿)</t>
  </si>
  <si>
    <t>Price Var (MPV) (฿)</t>
  </si>
  <si>
    <t>Loss Var (MLV) (฿)</t>
  </si>
  <si>
    <t>Total Mat Var (Δ ฿)</t>
  </si>
  <si>
    <t/>
  </si>
  <si>
    <t>Base Runtime (MHr)</t>
  </si>
  <si>
    <t>Active Runtime (MHr)</t>
  </si>
  <si>
    <t>Base Labor (฿)</t>
  </si>
  <si>
    <t>Active Labor (฿)</t>
  </si>
  <si>
    <t>Base Burden (฿)</t>
  </si>
  <si>
    <t>Active Burden (฿)</t>
  </si>
  <si>
    <t>Active Process Cost (฿)</t>
  </si>
  <si>
    <t>Process Δ (฿)</t>
  </si>
  <si>
    <t>Cost Element</t>
  </si>
  <si>
    <t>Active Current Std (฿/pc)</t>
  </si>
  <si>
    <t>% Variance</t>
  </si>
  <si>
    <t>Consumption</t>
  </si>
  <si>
    <t>Base Price</t>
  </si>
  <si>
    <t>Active Price</t>
  </si>
  <si>
    <t>MHr</t>
  </si>
  <si>
    <t xml:space="preserve">Remark:  1.MHr here in call  "Machine and Man" working hour </t>
  </si>
  <si>
    <t>Base Cap (pc/hr)</t>
  </si>
  <si>
    <t>Active Cap (pc/hr)</t>
  </si>
  <si>
    <t>Sequence</t>
  </si>
  <si>
    <t>MASTER OPERATIONAL INPUT DATA</t>
  </si>
  <si>
    <t>BOM</t>
  </si>
  <si>
    <t>WORK CENTER RATES</t>
  </si>
  <si>
    <t>ROUTING</t>
  </si>
  <si>
    <t>DIRECT MATERIAL COST (BOM)</t>
  </si>
  <si>
    <t>PRODUCT COST BREAKDOWN  &amp; VARIANCE</t>
  </si>
  <si>
    <t>CONVERSION PROCESS COST (ROUTING)</t>
  </si>
  <si>
    <t>Total</t>
  </si>
  <si>
    <t>Material</t>
  </si>
  <si>
    <t>Labor</t>
  </si>
  <si>
    <t>Burden</t>
  </si>
  <si>
    <t>Std Total</t>
  </si>
  <si>
    <t>Baseline Ref Std (฿/pc)</t>
  </si>
  <si>
    <t>Variance (Δ ฿/pc)</t>
  </si>
  <si>
    <t>REFERENCE STANDARD VS CURRENT STANDARD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</si>
</sst>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.0000"/>
    <numFmt numFmtId="165" formatCode="0.0"/>
    <numFmt numFmtId="166" formatCode="\+#,##0.0000;\-#,##0.0000;0.0000"/>
    <numFmt numFmtId="167" formatCode="#,##0.0000\ &quot;฿&quot;"/>
    <numFmt numFmtId="168" formatCode="\+#,##0.0000\ &quot;฿&quot;;\-#,##0.0000\ &quot;฿&quot;;0.0000\ &quot;฿&quot;"/>
    <numFmt numFmtId="169" formatCode="0.000000"/>
  </numFmts>
  <fonts count="15" x14ac:knownFonts="1">
    <font>
      <sz val="11"/>
      <color theme="1"/>
      <name val="Calibri"/>
      <family val="2"/>
      <scheme val="minor"/>
    </font>
    <font>
      <b/>
      <sz val="12"/>
      <color rgb="FF0F172A"/>
      <name val="Segoe UI"/>
    </font>
    <font>
      <b/>
      <sz val="10.5"/>
      <color rgb="FF0F172A"/>
      <name val="Segoe UI"/>
    </font>
    <font>
      <b/>
      <sz val="10"/>
      <color rgb="FFFFFFFF"/>
      <name val="Segoe UI"/>
    </font>
    <font>
      <b/>
      <sz val="9.5"/>
      <color rgb="FF0F172A"/>
      <name val="Consolas"/>
    </font>
    <font>
      <sz val="9.5"/>
      <color rgb="FF334155"/>
      <name val="Segoe UI"/>
    </font>
    <font>
      <sz val="9.5"/>
      <color rgb="FF0F172A"/>
      <name val="Consolas"/>
    </font>
    <font>
      <b/>
      <sz val="9.5"/>
      <color rgb="FF0F172A"/>
      <name val="Segoe UI"/>
    </font>
    <font>
      <sz val="10.5"/>
      <color rgb="FF0F172A"/>
      <name val="Segoe UI"/>
      <family val="2"/>
    </font>
    <font>
      <b/>
      <sz val="10"/>
      <color rgb="FFFFFFFF"/>
      <name val="Segoe UI"/>
      <family val="2"/>
    </font>
    <font>
      <sz val="9.5"/>
      <color rgb="FF334155"/>
      <name val="Segoe UI"/>
      <family val="2"/>
    </font>
    <font>
      <b/>
      <sz val="9.5"/>
      <color rgb="FF0F172A"/>
      <name val="Consolas"/>
      <family val="3"/>
    </font>
    <font>
      <b/>
      <sz val="10.5"/>
      <color rgb="FF0F172A"/>
      <name val="Segoe UI"/>
      <family val="2"/>
    </font>
    <font>
      <b/>
      <i/>
      <u/>
      <sz val="12"/>
      <color rgb="FF0F172A"/>
      <name val="Segoe UI"/>
      <family val="2"/>
    </font>
    <font>
      <b/>
      <sz val="9.5"/>
      <color rgb="FF0F172A"/>
      <name val="Segoe UI"/>
      <family val="2"/>
    </font>
  </fonts>
  <fills count="6">
    <fill>
      <patternFill patternType="none"/>
    </fill>
    <fill>
      <patternFill patternType="gray125"/>
    </fill>
    <fill>
      <patternFill patternType="solid">
        <fgColor rgb="FFFEF9C3"/>
      </patternFill>
    </fill>
    <fill>
      <patternFill patternType="solid">
        <fgColor rgb="FF0F172A"/>
      </patternFill>
    </fill>
    <fill>
      <patternFill patternType="solid">
        <fgColor rgb="FFF1F5F9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94A3B8"/>
      </top>
      <bottom style="double">
        <color rgb="FF0F172A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9" fillId="3" borderId="1" xfId="0" applyFont="1" applyFill="1" applyBorder="1" applyAlignment="1">
      <alignment horizontal="center" vertical="center"/>
    </xf>
    <xf numFmtId="0" fontId="7" fillId="0" borderId="0" xfId="0" applyFont="1" applyFill="1"/>
    <xf numFmtId="0" fontId="13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6" fontId="4" fillId="0" borderId="1" xfId="0" applyNumberFormat="1" applyFont="1" applyBorder="1" applyAlignment="1">
      <alignment horizontal="center" vertical="center"/>
    </xf>
    <xf numFmtId="166" fontId="6" fillId="0" borderId="1" xfId="0" applyNumberFormat="1" applyFont="1" applyBorder="1" applyAlignment="1">
      <alignment horizontal="center" vertical="center"/>
    </xf>
    <xf numFmtId="0" fontId="7" fillId="4" borderId="2" xfId="0" applyFont="1" applyFill="1" applyBorder="1" applyAlignment="1">
      <alignment horizontal="center" vertical="center"/>
    </xf>
    <xf numFmtId="167" fontId="4" fillId="4" borderId="2" xfId="0" applyNumberFormat="1" applyFont="1" applyFill="1" applyBorder="1" applyAlignment="1">
      <alignment horizontal="center" vertical="center"/>
    </xf>
    <xf numFmtId="168" fontId="4" fillId="4" borderId="2" xfId="0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9" fontId="6" fillId="0" borderId="1" xfId="0" applyNumberFormat="1" applyFont="1" applyBorder="1" applyAlignment="1">
      <alignment horizontal="center" vertical="center"/>
    </xf>
    <xf numFmtId="169" fontId="4" fillId="0" borderId="1" xfId="0" applyNumberFormat="1" applyFont="1" applyBorder="1" applyAlignment="1">
      <alignment horizontal="center" vertical="center"/>
    </xf>
    <xf numFmtId="167" fontId="6" fillId="0" borderId="1" xfId="0" applyNumberFormat="1" applyFont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8" fontId="4" fillId="0" borderId="1" xfId="0" applyNumberFormat="1" applyFont="1" applyBorder="1" applyAlignment="1">
      <alignment horizontal="center" vertical="center"/>
    </xf>
    <xf numFmtId="10" fontId="6" fillId="0" borderId="1" xfId="0" applyNumberFormat="1" applyFont="1" applyBorder="1" applyAlignment="1">
      <alignment horizontal="center" vertical="center"/>
    </xf>
    <xf numFmtId="10" fontId="4" fillId="4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12" fillId="0" borderId="0" xfId="0" applyFont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4" fontId="4" fillId="2" borderId="3" xfId="0" applyNumberFormat="1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164" fontId="6" fillId="2" borderId="3" xfId="0" applyNumberFormat="1" applyFont="1" applyFill="1" applyBorder="1" applyAlignment="1">
      <alignment horizontal="center" vertical="center"/>
    </xf>
    <xf numFmtId="4" fontId="6" fillId="2" borderId="3" xfId="0" applyNumberFormat="1" applyFont="1" applyFill="1" applyBorder="1" applyAlignment="1">
      <alignment horizontal="center" vertical="center"/>
    </xf>
    <xf numFmtId="10" fontId="6" fillId="2" borderId="3" xfId="0" applyNumberFormat="1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3" fontId="6" fillId="2" borderId="3" xfId="0" applyNumberFormat="1" applyFont="1" applyFill="1" applyBorder="1" applyAlignment="1">
      <alignment horizontal="center" vertical="center"/>
    </xf>
    <xf numFmtId="3" fontId="4" fillId="2" borderId="3" xfId="0" applyNumberFormat="1" applyFont="1" applyFill="1" applyBorder="1" applyAlignment="1">
      <alignment horizontal="center" vertical="center"/>
    </xf>
    <xf numFmtId="165" fontId="6" fillId="2" borderId="3" xfId="0" applyNumberFormat="1" applyFont="1" applyFill="1" applyBorder="1" applyAlignment="1">
      <alignment horizontal="center" vertical="center"/>
    </xf>
    <xf numFmtId="10" fontId="4" fillId="2" borderId="3" xfId="0" applyNumberFormat="1" applyFont="1" applyFill="1" applyBorder="1" applyAlignment="1">
      <alignment horizontal="center" vertical="center"/>
    </xf>
    <xf numFmtId="0" fontId="14" fillId="4" borderId="2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9" fillId="5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"/>
  <sheetViews>
    <sheetView tabSelected="1" workbookViewId="0">
      <selection activeCell="K14" sqref="K14"/>
    </sheetView>
  </sheetViews>
  <sheetFormatPr defaultRowHeight="15" x14ac:dyDescent="0.25"/>
  <cols>
    <col min="1" max="1" width="14.85546875" style="7" customWidth="1"/>
    <col min="2" max="2" width="38.28515625" style="7" bestFit="1" customWidth="1"/>
    <col min="3" max="3" width="21.140625" style="7" bestFit="1" customWidth="1"/>
    <col min="4" max="4" width="23.140625" style="7" customWidth="1"/>
    <col min="5" max="5" width="18.28515625" style="7" bestFit="1" customWidth="1"/>
    <col min="6" max="6" width="21.140625" style="7" bestFit="1" customWidth="1"/>
    <col min="7" max="7" width="18.28515625" style="7" bestFit="1" customWidth="1"/>
    <col min="8" max="8" width="19.7109375" style="7" bestFit="1" customWidth="1"/>
    <col min="9" max="9" width="13.7109375" style="7" bestFit="1" customWidth="1"/>
    <col min="10" max="10" width="16.140625" style="7" bestFit="1" customWidth="1"/>
    <col min="11" max="11" width="26.85546875" style="7" bestFit="1" customWidth="1"/>
    <col min="12" max="16384" width="9.140625" style="7"/>
  </cols>
  <sheetData>
    <row r="1" spans="1:10" s="4" customFormat="1" ht="17.25" x14ac:dyDescent="0.25">
      <c r="A1" s="14" t="s">
        <v>94</v>
      </c>
    </row>
    <row r="2" spans="1:10" x14ac:dyDescent="0.25">
      <c r="C2" s="9"/>
    </row>
    <row r="3" spans="1:10" s="5" customFormat="1" ht="15.75" x14ac:dyDescent="0.25">
      <c r="A3" s="10" t="s">
        <v>0</v>
      </c>
    </row>
    <row r="4" spans="1:10" s="6" customFormat="1" ht="14.25" x14ac:dyDescent="0.25">
      <c r="A4" s="52" t="s">
        <v>1</v>
      </c>
      <c r="B4" s="53" t="s">
        <v>2</v>
      </c>
      <c r="C4" s="52" t="s">
        <v>3</v>
      </c>
      <c r="D4" s="52" t="s">
        <v>4</v>
      </c>
    </row>
    <row r="5" spans="1:10" x14ac:dyDescent="0.25">
      <c r="A5" s="35" t="s">
        <v>5</v>
      </c>
      <c r="B5" s="36"/>
      <c r="C5" s="37" t="s">
        <v>6</v>
      </c>
      <c r="D5" s="37" t="s">
        <v>7</v>
      </c>
    </row>
    <row r="7" spans="1:10" s="5" customFormat="1" ht="15.75" x14ac:dyDescent="0.25">
      <c r="A7" s="34" t="s">
        <v>96</v>
      </c>
    </row>
    <row r="8" spans="1:10" s="6" customFormat="1" ht="14.25" x14ac:dyDescent="0.25">
      <c r="A8" s="53" t="s">
        <v>51</v>
      </c>
      <c r="B8" s="52" t="s">
        <v>8</v>
      </c>
      <c r="C8" s="52" t="s">
        <v>9</v>
      </c>
      <c r="D8" s="52" t="s">
        <v>10</v>
      </c>
      <c r="E8" s="52" t="s">
        <v>11</v>
      </c>
      <c r="F8" s="52" t="s">
        <v>4</v>
      </c>
    </row>
    <row r="9" spans="1:10" x14ac:dyDescent="0.25">
      <c r="A9" s="35" t="s">
        <v>12</v>
      </c>
      <c r="B9" s="37" t="s">
        <v>13</v>
      </c>
      <c r="C9" s="38">
        <v>102.9</v>
      </c>
      <c r="D9" s="38">
        <v>79.66</v>
      </c>
      <c r="E9" s="39" t="s">
        <v>14</v>
      </c>
      <c r="F9" s="37" t="s">
        <v>15</v>
      </c>
    </row>
    <row r="10" spans="1:10" x14ac:dyDescent="0.25">
      <c r="A10" s="35" t="s">
        <v>16</v>
      </c>
      <c r="B10" s="37" t="s">
        <v>17</v>
      </c>
      <c r="C10" s="38">
        <v>102.9</v>
      </c>
      <c r="D10" s="38">
        <v>79.66</v>
      </c>
      <c r="E10" s="39" t="s">
        <v>14</v>
      </c>
      <c r="F10" s="37" t="s">
        <v>15</v>
      </c>
    </row>
    <row r="11" spans="1:10" x14ac:dyDescent="0.25">
      <c r="A11" s="35" t="s">
        <v>18</v>
      </c>
      <c r="B11" s="37" t="s">
        <v>19</v>
      </c>
      <c r="C11" s="38">
        <v>102.9</v>
      </c>
      <c r="D11" s="38">
        <v>79.66</v>
      </c>
      <c r="E11" s="39" t="s">
        <v>14</v>
      </c>
      <c r="F11" s="37" t="s">
        <v>15</v>
      </c>
    </row>
    <row r="12" spans="1:10" x14ac:dyDescent="0.25">
      <c r="A12" s="35" t="s">
        <v>20</v>
      </c>
      <c r="B12" s="37" t="s">
        <v>21</v>
      </c>
      <c r="C12" s="38">
        <v>102.9</v>
      </c>
      <c r="D12" s="38">
        <v>79.66</v>
      </c>
      <c r="E12" s="39" t="s">
        <v>14</v>
      </c>
      <c r="F12" s="37" t="s">
        <v>15</v>
      </c>
    </row>
    <row r="14" spans="1:10" s="5" customFormat="1" ht="15.75" x14ac:dyDescent="0.25">
      <c r="A14" s="34" t="s">
        <v>95</v>
      </c>
    </row>
    <row r="15" spans="1:10" s="6" customFormat="1" ht="14.25" x14ac:dyDescent="0.25">
      <c r="A15" s="40" t="s">
        <v>22</v>
      </c>
      <c r="B15" s="40" t="s">
        <v>24</v>
      </c>
      <c r="C15" s="40" t="s">
        <v>23</v>
      </c>
      <c r="D15" s="40" t="s">
        <v>86</v>
      </c>
      <c r="E15" s="40" t="s">
        <v>3</v>
      </c>
      <c r="F15" s="40" t="s">
        <v>87</v>
      </c>
      <c r="G15" s="40" t="s">
        <v>88</v>
      </c>
      <c r="H15" s="40" t="s">
        <v>25</v>
      </c>
      <c r="I15" s="40" t="s">
        <v>26</v>
      </c>
      <c r="J15" s="40" t="s">
        <v>4</v>
      </c>
    </row>
    <row r="16" spans="1:10" x14ac:dyDescent="0.25">
      <c r="A16" s="39">
        <v>1</v>
      </c>
      <c r="B16" s="37" t="s">
        <v>28</v>
      </c>
      <c r="C16" s="41" t="s">
        <v>27</v>
      </c>
      <c r="D16" s="42">
        <v>3.5000000000000001E-3</v>
      </c>
      <c r="E16" s="37" t="s">
        <v>29</v>
      </c>
      <c r="F16" s="43">
        <v>150</v>
      </c>
      <c r="G16" s="38">
        <v>545.6</v>
      </c>
      <c r="H16" s="44">
        <v>0.3</v>
      </c>
      <c r="I16" s="44">
        <v>0.3</v>
      </c>
      <c r="J16" s="37" t="s">
        <v>30</v>
      </c>
    </row>
    <row r="17" spans="1:11" x14ac:dyDescent="0.25">
      <c r="A17" s="39">
        <v>2</v>
      </c>
      <c r="B17" s="37" t="s">
        <v>32</v>
      </c>
      <c r="C17" s="35" t="s">
        <v>31</v>
      </c>
      <c r="D17" s="42">
        <v>2E-3</v>
      </c>
      <c r="E17" s="37" t="s">
        <v>29</v>
      </c>
      <c r="F17" s="43">
        <v>85</v>
      </c>
      <c r="G17" s="38">
        <v>85</v>
      </c>
      <c r="H17" s="44">
        <v>0.3</v>
      </c>
      <c r="I17" s="44">
        <v>0.3</v>
      </c>
      <c r="J17" s="37" t="s">
        <v>30</v>
      </c>
    </row>
    <row r="18" spans="1:11" x14ac:dyDescent="0.25">
      <c r="A18" s="39">
        <v>3</v>
      </c>
      <c r="B18" s="37" t="s">
        <v>34</v>
      </c>
      <c r="C18" s="35" t="s">
        <v>33</v>
      </c>
      <c r="D18" s="42">
        <v>5.0000000000000001E-3</v>
      </c>
      <c r="E18" s="37" t="s">
        <v>29</v>
      </c>
      <c r="F18" s="43">
        <v>45</v>
      </c>
      <c r="G18" s="38">
        <v>45</v>
      </c>
      <c r="H18" s="44">
        <v>0.3</v>
      </c>
      <c r="I18" s="44">
        <v>0.3</v>
      </c>
      <c r="J18" s="37" t="s">
        <v>30</v>
      </c>
    </row>
    <row r="19" spans="1:11" x14ac:dyDescent="0.25">
      <c r="A19" s="39">
        <v>4</v>
      </c>
      <c r="B19" s="37" t="s">
        <v>36</v>
      </c>
      <c r="C19" s="35" t="s">
        <v>35</v>
      </c>
      <c r="D19" s="42">
        <v>1.2500000000000001E-2</v>
      </c>
      <c r="E19" s="37" t="s">
        <v>37</v>
      </c>
      <c r="F19" s="43">
        <v>380</v>
      </c>
      <c r="G19" s="38">
        <v>380</v>
      </c>
      <c r="H19" s="44">
        <v>0.15</v>
      </c>
      <c r="I19" s="44">
        <v>0.15</v>
      </c>
      <c r="J19" s="37" t="s">
        <v>30</v>
      </c>
    </row>
    <row r="20" spans="1:11" x14ac:dyDescent="0.25">
      <c r="A20" s="39">
        <v>5</v>
      </c>
      <c r="B20" s="37" t="s">
        <v>39</v>
      </c>
      <c r="C20" s="35" t="s">
        <v>38</v>
      </c>
      <c r="D20" s="42">
        <v>1.2500000000000001E-2</v>
      </c>
      <c r="E20" s="37" t="s">
        <v>37</v>
      </c>
      <c r="F20" s="43">
        <v>420</v>
      </c>
      <c r="G20" s="38">
        <v>420</v>
      </c>
      <c r="H20" s="44">
        <v>0.15</v>
      </c>
      <c r="I20" s="44">
        <v>0.15</v>
      </c>
      <c r="J20" s="37" t="s">
        <v>30</v>
      </c>
    </row>
    <row r="21" spans="1:11" x14ac:dyDescent="0.25">
      <c r="A21" s="39">
        <v>6</v>
      </c>
      <c r="B21" s="37" t="s">
        <v>41</v>
      </c>
      <c r="C21" s="35" t="s">
        <v>40</v>
      </c>
      <c r="D21" s="42">
        <v>1.2500000000000001E-2</v>
      </c>
      <c r="E21" s="37" t="s">
        <v>37</v>
      </c>
      <c r="F21" s="43">
        <v>280</v>
      </c>
      <c r="G21" s="38">
        <v>280</v>
      </c>
      <c r="H21" s="44">
        <v>0.15</v>
      </c>
      <c r="I21" s="44">
        <v>0.15</v>
      </c>
      <c r="J21" s="37" t="s">
        <v>30</v>
      </c>
    </row>
    <row r="22" spans="1:11" x14ac:dyDescent="0.25">
      <c r="A22" s="39">
        <v>7</v>
      </c>
      <c r="B22" s="37" t="s">
        <v>43</v>
      </c>
      <c r="C22" s="35" t="s">
        <v>42</v>
      </c>
      <c r="D22" s="42">
        <v>1</v>
      </c>
      <c r="E22" s="37" t="s">
        <v>6</v>
      </c>
      <c r="F22" s="43">
        <v>0.85</v>
      </c>
      <c r="G22" s="38">
        <v>0.85</v>
      </c>
      <c r="H22" s="44">
        <v>0.05</v>
      </c>
      <c r="I22" s="44">
        <v>0.05</v>
      </c>
      <c r="J22" s="37" t="s">
        <v>30</v>
      </c>
    </row>
    <row r="23" spans="1:11" x14ac:dyDescent="0.25">
      <c r="A23" s="39">
        <v>8</v>
      </c>
      <c r="B23" s="37" t="s">
        <v>45</v>
      </c>
      <c r="C23" s="35" t="s">
        <v>44</v>
      </c>
      <c r="D23" s="42">
        <v>1</v>
      </c>
      <c r="E23" s="37" t="s">
        <v>6</v>
      </c>
      <c r="F23" s="43">
        <v>0.35</v>
      </c>
      <c r="G23" s="38">
        <v>0.35</v>
      </c>
      <c r="H23" s="44">
        <v>0.02</v>
      </c>
      <c r="I23" s="44">
        <v>0.02</v>
      </c>
      <c r="J23" s="37" t="s">
        <v>30</v>
      </c>
    </row>
    <row r="24" spans="1:11" x14ac:dyDescent="0.25">
      <c r="A24" s="39">
        <v>9</v>
      </c>
      <c r="B24" s="37" t="s">
        <v>47</v>
      </c>
      <c r="C24" s="35" t="s">
        <v>46</v>
      </c>
      <c r="D24" s="42">
        <v>0.01</v>
      </c>
      <c r="E24" s="37" t="s">
        <v>6</v>
      </c>
      <c r="F24" s="43">
        <v>42</v>
      </c>
      <c r="G24" s="38">
        <v>42</v>
      </c>
      <c r="H24" s="44">
        <v>0</v>
      </c>
      <c r="I24" s="44">
        <v>0</v>
      </c>
      <c r="J24" s="37" t="s">
        <v>30</v>
      </c>
    </row>
    <row r="25" spans="1:11" x14ac:dyDescent="0.25">
      <c r="A25" s="39">
        <v>10</v>
      </c>
      <c r="B25" s="37" t="s">
        <v>49</v>
      </c>
      <c r="C25" s="35" t="s">
        <v>48</v>
      </c>
      <c r="D25" s="42">
        <v>4</v>
      </c>
      <c r="E25" s="37" t="s">
        <v>6</v>
      </c>
      <c r="F25" s="43">
        <v>0.11799999999999999</v>
      </c>
      <c r="G25" s="38">
        <v>0.11799999999999999</v>
      </c>
      <c r="H25" s="44">
        <v>0.01</v>
      </c>
      <c r="I25" s="44">
        <v>0.01</v>
      </c>
      <c r="J25" s="37" t="s">
        <v>30</v>
      </c>
    </row>
    <row r="27" spans="1:11" s="5" customFormat="1" ht="15.75" x14ac:dyDescent="0.25">
      <c r="A27" s="34" t="s">
        <v>97</v>
      </c>
      <c r="D27" s="11" t="s">
        <v>90</v>
      </c>
    </row>
    <row r="28" spans="1:11" s="6" customFormat="1" ht="14.25" x14ac:dyDescent="0.25">
      <c r="A28" s="45" t="s">
        <v>93</v>
      </c>
      <c r="B28" s="40" t="s">
        <v>50</v>
      </c>
      <c r="C28" s="40" t="s">
        <v>51</v>
      </c>
      <c r="D28" s="40" t="s">
        <v>89</v>
      </c>
      <c r="E28" s="45" t="s">
        <v>91</v>
      </c>
      <c r="F28" s="45" t="s">
        <v>92</v>
      </c>
      <c r="G28" s="40" t="s">
        <v>52</v>
      </c>
      <c r="H28" s="40" t="s">
        <v>53</v>
      </c>
      <c r="I28" s="40" t="s">
        <v>54</v>
      </c>
      <c r="J28" s="40" t="s">
        <v>55</v>
      </c>
      <c r="K28" s="40" t="s">
        <v>4</v>
      </c>
    </row>
    <row r="29" spans="1:11" x14ac:dyDescent="0.25">
      <c r="A29" s="35">
        <v>10</v>
      </c>
      <c r="B29" s="37" t="s">
        <v>56</v>
      </c>
      <c r="C29" s="35" t="s">
        <v>12</v>
      </c>
      <c r="D29" s="39">
        <v>1</v>
      </c>
      <c r="E29" s="46">
        <v>1200</v>
      </c>
      <c r="F29" s="47">
        <v>1200</v>
      </c>
      <c r="G29" s="48">
        <v>3</v>
      </c>
      <c r="H29" s="48">
        <v>3</v>
      </c>
      <c r="I29" s="44">
        <v>0.98</v>
      </c>
      <c r="J29" s="49">
        <v>0.98</v>
      </c>
      <c r="K29" s="37" t="s">
        <v>7</v>
      </c>
    </row>
    <row r="30" spans="1:11" x14ac:dyDescent="0.25">
      <c r="A30" s="35">
        <v>20</v>
      </c>
      <c r="B30" s="37" t="s">
        <v>57</v>
      </c>
      <c r="C30" s="35" t="s">
        <v>12</v>
      </c>
      <c r="D30" s="39">
        <v>1</v>
      </c>
      <c r="E30" s="46">
        <v>1200</v>
      </c>
      <c r="F30" s="47">
        <v>1200</v>
      </c>
      <c r="G30" s="48">
        <v>3</v>
      </c>
      <c r="H30" s="48">
        <v>3</v>
      </c>
      <c r="I30" s="44">
        <v>0.98</v>
      </c>
      <c r="J30" s="49">
        <v>0.98</v>
      </c>
      <c r="K30" s="37" t="s">
        <v>7</v>
      </c>
    </row>
    <row r="31" spans="1:11" x14ac:dyDescent="0.25">
      <c r="A31" s="35">
        <v>30</v>
      </c>
      <c r="B31" s="37" t="s">
        <v>58</v>
      </c>
      <c r="C31" s="35" t="s">
        <v>12</v>
      </c>
      <c r="D31" s="39">
        <v>1</v>
      </c>
      <c r="E31" s="46">
        <v>1000</v>
      </c>
      <c r="F31" s="47">
        <v>1000</v>
      </c>
      <c r="G31" s="48">
        <v>3.6</v>
      </c>
      <c r="H31" s="48">
        <v>3.6</v>
      </c>
      <c r="I31" s="44">
        <v>0.98</v>
      </c>
      <c r="J31" s="49">
        <v>0.98</v>
      </c>
      <c r="K31" s="37" t="s">
        <v>7</v>
      </c>
    </row>
    <row r="32" spans="1:11" x14ac:dyDescent="0.25">
      <c r="A32" s="35">
        <v>40</v>
      </c>
      <c r="B32" s="37" t="s">
        <v>59</v>
      </c>
      <c r="C32" s="35" t="s">
        <v>12</v>
      </c>
      <c r="D32" s="39">
        <v>2</v>
      </c>
      <c r="E32" s="46">
        <v>600</v>
      </c>
      <c r="F32" s="47">
        <v>600</v>
      </c>
      <c r="G32" s="48">
        <v>6</v>
      </c>
      <c r="H32" s="48">
        <v>6</v>
      </c>
      <c r="I32" s="44">
        <v>0.95</v>
      </c>
      <c r="J32" s="49">
        <v>0.9</v>
      </c>
      <c r="K32" s="37" t="s">
        <v>60</v>
      </c>
    </row>
    <row r="33" spans="1:11" x14ac:dyDescent="0.25">
      <c r="A33" s="35">
        <v>50</v>
      </c>
      <c r="B33" s="37" t="s">
        <v>61</v>
      </c>
      <c r="C33" s="35" t="s">
        <v>12</v>
      </c>
      <c r="D33" s="39">
        <v>1</v>
      </c>
      <c r="E33" s="46">
        <v>800</v>
      </c>
      <c r="F33" s="47">
        <v>800</v>
      </c>
      <c r="G33" s="48">
        <v>4.5</v>
      </c>
      <c r="H33" s="48">
        <v>4.5</v>
      </c>
      <c r="I33" s="44">
        <v>0.98</v>
      </c>
      <c r="J33" s="49">
        <v>0.98</v>
      </c>
      <c r="K33" s="37" t="s">
        <v>7</v>
      </c>
    </row>
    <row r="34" spans="1:11" x14ac:dyDescent="0.25">
      <c r="A34" s="35">
        <v>60</v>
      </c>
      <c r="B34" s="37" t="s">
        <v>62</v>
      </c>
      <c r="C34" s="35" t="s">
        <v>12</v>
      </c>
      <c r="D34" s="39">
        <v>2</v>
      </c>
      <c r="E34" s="46">
        <v>600</v>
      </c>
      <c r="F34" s="47">
        <v>600</v>
      </c>
      <c r="G34" s="48">
        <v>6</v>
      </c>
      <c r="H34" s="48">
        <v>6</v>
      </c>
      <c r="I34" s="44">
        <v>0.95</v>
      </c>
      <c r="J34" s="49">
        <v>0.9</v>
      </c>
      <c r="K34" s="37" t="s">
        <v>60</v>
      </c>
    </row>
    <row r="35" spans="1:11" x14ac:dyDescent="0.25">
      <c r="A35" s="35">
        <v>70</v>
      </c>
      <c r="B35" s="37" t="s">
        <v>63</v>
      </c>
      <c r="C35" s="35" t="s">
        <v>12</v>
      </c>
      <c r="D35" s="39">
        <v>1</v>
      </c>
      <c r="E35" s="46">
        <v>900</v>
      </c>
      <c r="F35" s="47">
        <v>900</v>
      </c>
      <c r="G35" s="48">
        <v>4</v>
      </c>
      <c r="H35" s="48">
        <v>4</v>
      </c>
      <c r="I35" s="44">
        <v>0.98</v>
      </c>
      <c r="J35" s="49">
        <v>0.98</v>
      </c>
      <c r="K35" s="37" t="s">
        <v>7</v>
      </c>
    </row>
    <row r="36" spans="1:11" x14ac:dyDescent="0.25">
      <c r="A36" s="35">
        <v>80</v>
      </c>
      <c r="B36" s="37" t="s">
        <v>64</v>
      </c>
      <c r="C36" s="35" t="s">
        <v>16</v>
      </c>
      <c r="D36" s="39">
        <v>2</v>
      </c>
      <c r="E36" s="46">
        <v>550</v>
      </c>
      <c r="F36" s="47">
        <v>550</v>
      </c>
      <c r="G36" s="48">
        <v>6.5</v>
      </c>
      <c r="H36" s="48">
        <v>6.5</v>
      </c>
      <c r="I36" s="44">
        <v>0.96</v>
      </c>
      <c r="J36" s="49">
        <v>0.96</v>
      </c>
      <c r="K36" s="37" t="s">
        <v>7</v>
      </c>
    </row>
    <row r="37" spans="1:11" x14ac:dyDescent="0.25">
      <c r="A37" s="35">
        <v>90</v>
      </c>
      <c r="B37" s="37" t="s">
        <v>65</v>
      </c>
      <c r="C37" s="35" t="s">
        <v>16</v>
      </c>
      <c r="D37" s="39">
        <v>1</v>
      </c>
      <c r="E37" s="46">
        <v>800</v>
      </c>
      <c r="F37" s="47">
        <v>800</v>
      </c>
      <c r="G37" s="48">
        <v>4.5</v>
      </c>
      <c r="H37" s="48">
        <v>4.5</v>
      </c>
      <c r="I37" s="44">
        <v>0.97</v>
      </c>
      <c r="J37" s="49">
        <v>0.97</v>
      </c>
      <c r="K37" s="37" t="s">
        <v>7</v>
      </c>
    </row>
    <row r="38" spans="1:11" x14ac:dyDescent="0.25">
      <c r="A38" s="35">
        <v>100</v>
      </c>
      <c r="B38" s="37" t="s">
        <v>66</v>
      </c>
      <c r="C38" s="35" t="s">
        <v>18</v>
      </c>
      <c r="D38" s="39">
        <v>2</v>
      </c>
      <c r="E38" s="46">
        <v>450</v>
      </c>
      <c r="F38" s="47">
        <v>450</v>
      </c>
      <c r="G38" s="48">
        <v>8</v>
      </c>
      <c r="H38" s="48">
        <v>8</v>
      </c>
      <c r="I38" s="44">
        <v>0.97</v>
      </c>
      <c r="J38" s="49">
        <v>0.97</v>
      </c>
      <c r="K38" s="37" t="s">
        <v>7</v>
      </c>
    </row>
    <row r="39" spans="1:11" x14ac:dyDescent="0.25">
      <c r="A39" s="35">
        <v>110</v>
      </c>
      <c r="B39" s="37" t="s">
        <v>67</v>
      </c>
      <c r="C39" s="35" t="s">
        <v>18</v>
      </c>
      <c r="D39" s="39">
        <v>1</v>
      </c>
      <c r="E39" s="46">
        <v>600</v>
      </c>
      <c r="F39" s="47">
        <v>600</v>
      </c>
      <c r="G39" s="48">
        <v>6</v>
      </c>
      <c r="H39" s="48">
        <v>6</v>
      </c>
      <c r="I39" s="44">
        <v>0.98</v>
      </c>
      <c r="J39" s="49">
        <v>0.98</v>
      </c>
      <c r="K39" s="37" t="s">
        <v>7</v>
      </c>
    </row>
    <row r="40" spans="1:11" x14ac:dyDescent="0.25">
      <c r="A40" s="35">
        <v>120</v>
      </c>
      <c r="B40" s="37" t="s">
        <v>68</v>
      </c>
      <c r="C40" s="35" t="s">
        <v>20</v>
      </c>
      <c r="D40" s="39">
        <v>1</v>
      </c>
      <c r="E40" s="46">
        <v>750</v>
      </c>
      <c r="F40" s="47">
        <v>750</v>
      </c>
      <c r="G40" s="48">
        <v>4.8</v>
      </c>
      <c r="H40" s="48">
        <v>4.8</v>
      </c>
      <c r="I40" s="44">
        <v>0.99</v>
      </c>
      <c r="J40" s="49">
        <v>0.99</v>
      </c>
      <c r="K40" s="37" t="s">
        <v>7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6"/>
  <sheetViews>
    <sheetView workbookViewId="0">
      <selection activeCell="F37" sqref="F37"/>
    </sheetView>
  </sheetViews>
  <sheetFormatPr defaultRowHeight="15" x14ac:dyDescent="0.25"/>
  <cols>
    <col min="1" max="1" width="20.28515625" customWidth="1"/>
    <col min="2" max="2" width="38.28515625" bestFit="1" customWidth="1"/>
    <col min="3" max="3" width="23.28515625" bestFit="1" customWidth="1"/>
    <col min="4" max="4" width="19.140625" bestFit="1" customWidth="1"/>
    <col min="5" max="5" width="20.5703125" bestFit="1" customWidth="1"/>
    <col min="6" max="6" width="18.28515625" bestFit="1" customWidth="1"/>
    <col min="7" max="7" width="17.7109375" bestFit="1" customWidth="1"/>
    <col min="8" max="8" width="18.28515625" bestFit="1" customWidth="1"/>
    <col min="9" max="9" width="16.42578125" bestFit="1" customWidth="1"/>
    <col min="10" max="10" width="21.42578125" bestFit="1" customWidth="1"/>
    <col min="11" max="11" width="12.42578125" bestFit="1" customWidth="1"/>
  </cols>
  <sheetData>
    <row r="1" spans="1:13" s="1" customFormat="1" ht="17.25" x14ac:dyDescent="0.3">
      <c r="A1" s="14" t="s">
        <v>99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7"/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</row>
    <row r="3" spans="1:13" s="2" customFormat="1" ht="15.75" x14ac:dyDescent="0.3">
      <c r="A3" s="34" t="s">
        <v>98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s="3" customFormat="1" ht="14.25" x14ac:dyDescent="0.25">
      <c r="A4" s="8" t="s">
        <v>22</v>
      </c>
      <c r="B4" s="8" t="s">
        <v>24</v>
      </c>
      <c r="C4" s="8" t="s">
        <v>23</v>
      </c>
      <c r="D4" s="8" t="s">
        <v>69</v>
      </c>
      <c r="E4" s="8" t="s">
        <v>70</v>
      </c>
      <c r="F4" s="8" t="s">
        <v>71</v>
      </c>
      <c r="G4" s="8" t="s">
        <v>72</v>
      </c>
      <c r="H4" s="8" t="s">
        <v>73</v>
      </c>
      <c r="J4" s="6"/>
      <c r="K4" s="6"/>
      <c r="L4" s="6"/>
      <c r="M4" s="6"/>
    </row>
    <row r="5" spans="1:13" x14ac:dyDescent="0.25">
      <c r="A5" s="15">
        <f>IFERROR(IF('1_INPUT_DATA'!A16="","",'1_INPUT_DATA'!A16),"")</f>
        <v>1</v>
      </c>
      <c r="B5" s="17" t="str">
        <f>IFERROR(IF('1_INPUT_DATA'!B16="","",'1_INPUT_DATA'!B16),"")</f>
        <v>DOTITE XA-3645 Conductive Silver Paste Ink</v>
      </c>
      <c r="C5" s="16" t="str">
        <f>IFERROR(IF('1_INPUT_DATA'!C16="","",'1_INPUT_DATA'!C16),"")</f>
        <v>RMMBA1020</v>
      </c>
      <c r="D5" s="18">
        <f>IFERROR(IF('1_INPUT_DATA'!C16="","", '1_INPUT_DATA'!D16*'1_INPUT_DATA'!F16*(1+'1_INPUT_DATA'!H16)),"")</f>
        <v>0.68250000000000011</v>
      </c>
      <c r="E5" s="19">
        <f>IFERROR(IF('1_INPUT_DATA'!C16="","", '1_INPUT_DATA'!D16*'1_INPUT_DATA'!G16*(1+'1_INPUT_DATA'!I16)),"")</f>
        <v>2.4824800000000002</v>
      </c>
      <c r="F5" s="20">
        <f>IFERROR(IF('1_INPUT_DATA'!C16="","", ('1_INPUT_DATA'!G16-'1_INPUT_DATA'!F16)*'1_INPUT_DATA'!D16*(1+'1_INPUT_DATA'!I16)),"")</f>
        <v>1.7999800000000001</v>
      </c>
      <c r="G5" s="21">
        <f>IFERROR(IF('1_INPUT_DATA'!C16="","", ('1_INPUT_DATA'!I16-'1_INPUT_DATA'!H16)*'1_INPUT_DATA'!D16*'1_INPUT_DATA'!F16),"")</f>
        <v>0</v>
      </c>
      <c r="H5" s="20">
        <f>IFERROR(IF('1_INPUT_DATA'!C16="","", E5-D5),"")</f>
        <v>1.7999800000000001</v>
      </c>
      <c r="J5" s="7"/>
      <c r="K5" s="7"/>
      <c r="L5" s="7"/>
      <c r="M5" s="7"/>
    </row>
    <row r="6" spans="1:13" x14ac:dyDescent="0.25">
      <c r="A6" s="15">
        <f>IFERROR(IF('1_INPUT_DATA'!A17="","",'1_INPUT_DATA'!A17),"")</f>
        <v>2</v>
      </c>
      <c r="B6" s="17" t="str">
        <f>IFERROR(IF('1_INPUT_DATA'!B17="","",'1_INPUT_DATA'!B17),"")</f>
        <v>FEC-4023 Carbon Resistive Paste Ink</v>
      </c>
      <c r="C6" s="16" t="str">
        <f>IFERROR(IF('1_INPUT_DATA'!C17="","",'1_INPUT_DATA'!C17),"")</f>
        <v>RMMBA1030</v>
      </c>
      <c r="D6" s="18">
        <f>IFERROR(IF('1_INPUT_DATA'!C17="","", '1_INPUT_DATA'!D17*'1_INPUT_DATA'!F17*(1+'1_INPUT_DATA'!H17)),"")</f>
        <v>0.22100000000000003</v>
      </c>
      <c r="E6" s="19">
        <f>IFERROR(IF('1_INPUT_DATA'!C17="","", '1_INPUT_DATA'!D17*'1_INPUT_DATA'!G17*(1+'1_INPUT_DATA'!I17)),"")</f>
        <v>0.22100000000000003</v>
      </c>
      <c r="F6" s="20">
        <f>IFERROR(IF('1_INPUT_DATA'!C17="","", ('1_INPUT_DATA'!G17-'1_INPUT_DATA'!F17)*'1_INPUT_DATA'!D17*(1+'1_INPUT_DATA'!I17)),"")</f>
        <v>0</v>
      </c>
      <c r="G6" s="21">
        <f>IFERROR(IF('1_INPUT_DATA'!C17="","", ('1_INPUT_DATA'!I17-'1_INPUT_DATA'!H17)*'1_INPUT_DATA'!D17*'1_INPUT_DATA'!F17),"")</f>
        <v>0</v>
      </c>
      <c r="H6" s="20">
        <f>IFERROR(IF('1_INPUT_DATA'!C17="","", E6-D6),"")</f>
        <v>0</v>
      </c>
      <c r="J6" s="7"/>
      <c r="K6" s="7"/>
      <c r="L6" s="7"/>
      <c r="M6" s="7"/>
    </row>
    <row r="7" spans="1:13" x14ac:dyDescent="0.25">
      <c r="A7" s="15">
        <f>IFERROR(IF('1_INPUT_DATA'!A18="","",'1_INPUT_DATA'!A18),"")</f>
        <v>3</v>
      </c>
      <c r="B7" s="17" t="str">
        <f>IFERROR(IF('1_INPUT_DATA'!B18="","",'1_INPUT_DATA'!B18),"")</f>
        <v>PTF-3201N UV Dielectric Insulating Paste</v>
      </c>
      <c r="C7" s="16" t="str">
        <f>IFERROR(IF('1_INPUT_DATA'!C18="","",'1_INPUT_DATA'!C18),"")</f>
        <v>RMMBA1040</v>
      </c>
      <c r="D7" s="18">
        <f>IFERROR(IF('1_INPUT_DATA'!C18="","", '1_INPUT_DATA'!D18*'1_INPUT_DATA'!F18*(1+'1_INPUT_DATA'!H18)),"")</f>
        <v>0.29250000000000004</v>
      </c>
      <c r="E7" s="19">
        <f>IFERROR(IF('1_INPUT_DATA'!C18="","", '1_INPUT_DATA'!D18*'1_INPUT_DATA'!G18*(1+'1_INPUT_DATA'!I18)),"")</f>
        <v>0.29250000000000004</v>
      </c>
      <c r="F7" s="20">
        <f>IFERROR(IF('1_INPUT_DATA'!C18="","", ('1_INPUT_DATA'!G18-'1_INPUT_DATA'!F18)*'1_INPUT_DATA'!D18*(1+'1_INPUT_DATA'!I18)),"")</f>
        <v>0</v>
      </c>
      <c r="G7" s="21">
        <f>IFERROR(IF('1_INPUT_DATA'!C18="","", ('1_INPUT_DATA'!I18-'1_INPUT_DATA'!H18)*'1_INPUT_DATA'!D18*'1_INPUT_DATA'!F18),"")</f>
        <v>0</v>
      </c>
      <c r="H7" s="20">
        <f>IFERROR(IF('1_INPUT_DATA'!C18="","", E7-D7),"")</f>
        <v>0</v>
      </c>
      <c r="J7" s="7"/>
      <c r="K7" s="7"/>
      <c r="L7" s="7"/>
      <c r="M7" s="7"/>
    </row>
    <row r="8" spans="1:13" x14ac:dyDescent="0.25">
      <c r="A8" s="15">
        <f>IFERROR(IF('1_INPUT_DATA'!A19="","",'1_INPUT_DATA'!A19),"")</f>
        <v>4</v>
      </c>
      <c r="B8" s="17" t="str">
        <f>IFERROR(IF('1_INPUT_DATA'!B19="","",'1_INPUT_DATA'!B19),"")</f>
        <v>PET Film FPE-1100 (25um Base Film)</v>
      </c>
      <c r="C8" s="16" t="str">
        <f>IFERROR(IF('1_INPUT_DATA'!C19="","",'1_INPUT_DATA'!C19),"")</f>
        <v>RMPET1010</v>
      </c>
      <c r="D8" s="18">
        <f>IFERROR(IF('1_INPUT_DATA'!C19="","", '1_INPUT_DATA'!D19*'1_INPUT_DATA'!F19*(1+'1_INPUT_DATA'!H19)),"")</f>
        <v>5.4624999999999995</v>
      </c>
      <c r="E8" s="19">
        <f>IFERROR(IF('1_INPUT_DATA'!C19="","", '1_INPUT_DATA'!D19*'1_INPUT_DATA'!G19*(1+'1_INPUT_DATA'!I19)),"")</f>
        <v>5.4624999999999995</v>
      </c>
      <c r="F8" s="20">
        <f>IFERROR(IF('1_INPUT_DATA'!C19="","", ('1_INPUT_DATA'!G19-'1_INPUT_DATA'!F19)*'1_INPUT_DATA'!D19*(1+'1_INPUT_DATA'!I19)),"")</f>
        <v>0</v>
      </c>
      <c r="G8" s="21">
        <f>IFERROR(IF('1_INPUT_DATA'!C19="","", ('1_INPUT_DATA'!I19-'1_INPUT_DATA'!H19)*'1_INPUT_DATA'!D19*'1_INPUT_DATA'!F19),"")</f>
        <v>0</v>
      </c>
      <c r="H8" s="20">
        <f>IFERROR(IF('1_INPUT_DATA'!C19="","", E8-D8),"")</f>
        <v>0</v>
      </c>
      <c r="J8" s="7"/>
      <c r="K8" s="7"/>
      <c r="L8" s="7"/>
      <c r="M8" s="7"/>
    </row>
    <row r="9" spans="1:13" x14ac:dyDescent="0.25">
      <c r="A9" s="15">
        <f>IFERROR(IF('1_INPUT_DATA'!A20="","",'1_INPUT_DATA'!A20),"")</f>
        <v>5</v>
      </c>
      <c r="B9" s="17" t="str">
        <f>IFERROR(IF('1_INPUT_DATA'!B20="","",'1_INPUT_DATA'!B20),"")</f>
        <v>Front Graphic Overlay Hardcoat Film</v>
      </c>
      <c r="C9" s="16" t="str">
        <f>IFERROR(IF('1_INPUT_DATA'!C20="","",'1_INPUT_DATA'!C20),"")</f>
        <v>RMCVR2010</v>
      </c>
      <c r="D9" s="18">
        <f>IFERROR(IF('1_INPUT_DATA'!C20="","", '1_INPUT_DATA'!D20*'1_INPUT_DATA'!F20*(1+'1_INPUT_DATA'!H20)),"")</f>
        <v>6.0374999999999996</v>
      </c>
      <c r="E9" s="19">
        <f>IFERROR(IF('1_INPUT_DATA'!C20="","", '1_INPUT_DATA'!D20*'1_INPUT_DATA'!G20*(1+'1_INPUT_DATA'!I20)),"")</f>
        <v>6.0374999999999996</v>
      </c>
      <c r="F9" s="20">
        <f>IFERROR(IF('1_INPUT_DATA'!C20="","", ('1_INPUT_DATA'!G20-'1_INPUT_DATA'!F20)*'1_INPUT_DATA'!D20*(1+'1_INPUT_DATA'!I20)),"")</f>
        <v>0</v>
      </c>
      <c r="G9" s="21">
        <f>IFERROR(IF('1_INPUT_DATA'!C20="","", ('1_INPUT_DATA'!I20-'1_INPUT_DATA'!H20)*'1_INPUT_DATA'!D20*'1_INPUT_DATA'!F20),"")</f>
        <v>0</v>
      </c>
      <c r="H9" s="20">
        <f>IFERROR(IF('1_INPUT_DATA'!C20="","", E9-D9),"")</f>
        <v>0</v>
      </c>
      <c r="J9" s="7"/>
      <c r="K9" s="7"/>
      <c r="L9" s="7"/>
      <c r="M9" s="7"/>
    </row>
    <row r="10" spans="1:13" x14ac:dyDescent="0.25">
      <c r="A10" s="15">
        <f>IFERROR(IF('1_INPUT_DATA'!A21="","",'1_INPUT_DATA'!A21),"")</f>
        <v>6</v>
      </c>
      <c r="B10" s="17" t="str">
        <f>IFERROR(IF('1_INPUT_DATA'!B21="","",'1_INPUT_DATA'!B21),"")</f>
        <v>High-Tack Acrylic Spacer Tape 3M</v>
      </c>
      <c r="C10" s="16" t="str">
        <f>IFERROR(IF('1_INPUT_DATA'!C21="","",'1_INPUT_DATA'!C21),"")</f>
        <v>RMADH3010</v>
      </c>
      <c r="D10" s="18">
        <f>IFERROR(IF('1_INPUT_DATA'!C21="","", '1_INPUT_DATA'!D21*'1_INPUT_DATA'!F21*(1+'1_INPUT_DATA'!H21)),"")</f>
        <v>4.0249999999999995</v>
      </c>
      <c r="E10" s="19">
        <f>IFERROR(IF('1_INPUT_DATA'!C21="","", '1_INPUT_DATA'!D21*'1_INPUT_DATA'!G21*(1+'1_INPUT_DATA'!I21)),"")</f>
        <v>4.0249999999999995</v>
      </c>
      <c r="F10" s="20">
        <f>IFERROR(IF('1_INPUT_DATA'!C21="","", ('1_INPUT_DATA'!G21-'1_INPUT_DATA'!F21)*'1_INPUT_DATA'!D21*(1+'1_INPUT_DATA'!I21)),"")</f>
        <v>0</v>
      </c>
      <c r="G10" s="21">
        <f>IFERROR(IF('1_INPUT_DATA'!C21="","", ('1_INPUT_DATA'!I21-'1_INPUT_DATA'!H21)*'1_INPUT_DATA'!D21*'1_INPUT_DATA'!F21),"")</f>
        <v>0</v>
      </c>
      <c r="H10" s="20">
        <f>IFERROR(IF('1_INPUT_DATA'!C21="","", E10-D10),"")</f>
        <v>0</v>
      </c>
      <c r="J10" s="7"/>
      <c r="K10" s="7"/>
      <c r="L10" s="7"/>
      <c r="M10" s="7"/>
    </row>
    <row r="11" spans="1:13" x14ac:dyDescent="0.25">
      <c r="A11" s="15">
        <f>IFERROR(IF('1_INPUT_DATA'!A22="","",'1_INPUT_DATA'!A22),"")</f>
        <v>7</v>
      </c>
      <c r="B11" s="17" t="str">
        <f>IFERROR(IF('1_INPUT_DATA'!B22="","",'1_INPUT_DATA'!B22),"")</f>
        <v>Conductive Anti-Static Shield Bag</v>
      </c>
      <c r="C11" s="16" t="str">
        <f>IFERROR(IF('1_INPUT_DATA'!C22="","",'1_INPUT_DATA'!C22),"")</f>
        <v>RMPCK4010</v>
      </c>
      <c r="D11" s="18">
        <f>IFERROR(IF('1_INPUT_DATA'!C22="","", '1_INPUT_DATA'!D22*'1_INPUT_DATA'!F22*(1+'1_INPUT_DATA'!H22)),"")</f>
        <v>0.89249999999999996</v>
      </c>
      <c r="E11" s="19">
        <f>IFERROR(IF('1_INPUT_DATA'!C22="","", '1_INPUT_DATA'!D22*'1_INPUT_DATA'!G22*(1+'1_INPUT_DATA'!I22)),"")</f>
        <v>0.89249999999999996</v>
      </c>
      <c r="F11" s="20">
        <f>IFERROR(IF('1_INPUT_DATA'!C22="","", ('1_INPUT_DATA'!G22-'1_INPUT_DATA'!F22)*'1_INPUT_DATA'!D22*(1+'1_INPUT_DATA'!I22)),"")</f>
        <v>0</v>
      </c>
      <c r="G11" s="21">
        <f>IFERROR(IF('1_INPUT_DATA'!C22="","", ('1_INPUT_DATA'!I22-'1_INPUT_DATA'!H22)*'1_INPUT_DATA'!D22*'1_INPUT_DATA'!F22),"")</f>
        <v>0</v>
      </c>
      <c r="H11" s="20">
        <f>IFERROR(IF('1_INPUT_DATA'!C22="","", E11-D11),"")</f>
        <v>0</v>
      </c>
      <c r="J11" s="7"/>
      <c r="K11" s="7"/>
      <c r="L11" s="7"/>
      <c r="M11" s="7"/>
    </row>
    <row r="12" spans="1:13" x14ac:dyDescent="0.25">
      <c r="A12" s="15">
        <f>IFERROR(IF('1_INPUT_DATA'!A23="","",'1_INPUT_DATA'!A23),"")</f>
        <v>8</v>
      </c>
      <c r="B12" s="17" t="str">
        <f>IFERROR(IF('1_INPUT_DATA'!B23="","",'1_INPUT_DATA'!B23),"")</f>
        <v>Silica Gel Desiccant 5g Pack</v>
      </c>
      <c r="C12" s="16" t="str">
        <f>IFERROR(IF('1_INPUT_DATA'!C23="","",'1_INPUT_DATA'!C23),"")</f>
        <v>RMPCK4020</v>
      </c>
      <c r="D12" s="18">
        <f>IFERROR(IF('1_INPUT_DATA'!C23="","", '1_INPUT_DATA'!D23*'1_INPUT_DATA'!F23*(1+'1_INPUT_DATA'!H23)),"")</f>
        <v>0.35699999999999998</v>
      </c>
      <c r="E12" s="19">
        <f>IFERROR(IF('1_INPUT_DATA'!C23="","", '1_INPUT_DATA'!D23*'1_INPUT_DATA'!G23*(1+'1_INPUT_DATA'!I23)),"")</f>
        <v>0.35699999999999998</v>
      </c>
      <c r="F12" s="20">
        <f>IFERROR(IF('1_INPUT_DATA'!C23="","", ('1_INPUT_DATA'!G23-'1_INPUT_DATA'!F23)*'1_INPUT_DATA'!D23*(1+'1_INPUT_DATA'!I23)),"")</f>
        <v>0</v>
      </c>
      <c r="G12" s="21">
        <f>IFERROR(IF('1_INPUT_DATA'!C23="","", ('1_INPUT_DATA'!I23-'1_INPUT_DATA'!H23)*'1_INPUT_DATA'!D23*'1_INPUT_DATA'!F23),"")</f>
        <v>0</v>
      </c>
      <c r="H12" s="20">
        <f>IFERROR(IF('1_INPUT_DATA'!C23="","", E12-D12),"")</f>
        <v>0</v>
      </c>
      <c r="J12" s="7"/>
      <c r="K12" s="7"/>
      <c r="L12" s="7"/>
      <c r="M12" s="7"/>
    </row>
    <row r="13" spans="1:13" x14ac:dyDescent="0.25">
      <c r="A13" s="15">
        <f>IFERROR(IF('1_INPUT_DATA'!A24="","",'1_INPUT_DATA'!A24),"")</f>
        <v>9</v>
      </c>
      <c r="B13" s="17" t="str">
        <f>IFERROR(IF('1_INPUT_DATA'!B24="","",'1_INPUT_DATA'!B24),"")</f>
        <v>Export Corrugated Shipping Carton</v>
      </c>
      <c r="C13" s="16" t="str">
        <f>IFERROR(IF('1_INPUT_DATA'!C24="","",'1_INPUT_DATA'!C24),"")</f>
        <v>RMPCK4030</v>
      </c>
      <c r="D13" s="18">
        <f>IFERROR(IF('1_INPUT_DATA'!C24="","", '1_INPUT_DATA'!D24*'1_INPUT_DATA'!F24*(1+'1_INPUT_DATA'!H24)),"")</f>
        <v>0.42</v>
      </c>
      <c r="E13" s="19">
        <f>IFERROR(IF('1_INPUT_DATA'!C24="","", '1_INPUT_DATA'!D24*'1_INPUT_DATA'!G24*(1+'1_INPUT_DATA'!I24)),"")</f>
        <v>0.42</v>
      </c>
      <c r="F13" s="20">
        <f>IFERROR(IF('1_INPUT_DATA'!C24="","", ('1_INPUT_DATA'!G24-'1_INPUT_DATA'!F24)*'1_INPUT_DATA'!D24*(1+'1_INPUT_DATA'!I24)),"")</f>
        <v>0</v>
      </c>
      <c r="G13" s="21">
        <f>IFERROR(IF('1_INPUT_DATA'!C24="","", ('1_INPUT_DATA'!I24-'1_INPUT_DATA'!H24)*'1_INPUT_DATA'!D24*'1_INPUT_DATA'!F24),"")</f>
        <v>0</v>
      </c>
      <c r="H13" s="20">
        <f>IFERROR(IF('1_INPUT_DATA'!C24="","", E13-D13),"")</f>
        <v>0</v>
      </c>
      <c r="J13" s="7"/>
      <c r="K13" s="7"/>
      <c r="L13" s="7"/>
      <c r="M13" s="7"/>
    </row>
    <row r="14" spans="1:13" x14ac:dyDescent="0.25">
      <c r="A14" s="15">
        <f>IFERROR(IF('1_INPUT_DATA'!A25="","",'1_INPUT_DATA'!A25),"")</f>
        <v>10</v>
      </c>
      <c r="B14" s="17" t="str">
        <f>IFERROR(IF('1_INPUT_DATA'!B25="","",'1_INPUT_DATA'!B25),"")</f>
        <v>Terminal Pin Connector Clip (Ag Plated)</v>
      </c>
      <c r="C14" s="16" t="str">
        <f>IFERROR(IF('1_INPUT_DATA'!C25="","",'1_INPUT_DATA'!C25),"")</f>
        <v>RMMBA1050</v>
      </c>
      <c r="D14" s="18">
        <f>IFERROR(IF('1_INPUT_DATA'!C25="","", '1_INPUT_DATA'!D25*'1_INPUT_DATA'!F25*(1+'1_INPUT_DATA'!H25)),"")</f>
        <v>0.47671999999999998</v>
      </c>
      <c r="E14" s="19">
        <f>IFERROR(IF('1_INPUT_DATA'!C25="","", '1_INPUT_DATA'!D25*'1_INPUT_DATA'!G25*(1+'1_INPUT_DATA'!I25)),"")</f>
        <v>0.47671999999999998</v>
      </c>
      <c r="F14" s="20">
        <f>IFERROR(IF('1_INPUT_DATA'!C25="","", ('1_INPUT_DATA'!G25-'1_INPUT_DATA'!F25)*'1_INPUT_DATA'!D25*(1+'1_INPUT_DATA'!I25)),"")</f>
        <v>0</v>
      </c>
      <c r="G14" s="21">
        <f>IFERROR(IF('1_INPUT_DATA'!C25="","", ('1_INPUT_DATA'!I25-'1_INPUT_DATA'!H25)*'1_INPUT_DATA'!D25*'1_INPUT_DATA'!F25),"")</f>
        <v>0</v>
      </c>
      <c r="H14" s="20">
        <f>IFERROR(IF('1_INPUT_DATA'!C25="","", E14-D14),"")</f>
        <v>0</v>
      </c>
      <c r="J14" s="7"/>
      <c r="K14" s="7"/>
      <c r="L14" s="7"/>
      <c r="M14" s="7"/>
    </row>
    <row r="15" spans="1:13" s="13" customFormat="1" thickBot="1" x14ac:dyDescent="0.3">
      <c r="A15" s="50" t="s">
        <v>101</v>
      </c>
      <c r="B15" s="22" t="s">
        <v>74</v>
      </c>
      <c r="C15" s="22" t="s">
        <v>74</v>
      </c>
      <c r="D15" s="23">
        <f>IFERROR(SUM(D5:D14), 0)</f>
        <v>18.86722</v>
      </c>
      <c r="E15" s="23">
        <f>IFERROR(SUM(E5:E14), 0)</f>
        <v>20.667199999999998</v>
      </c>
      <c r="F15" s="24">
        <f>IFERROR(SUM(F5:F14), 0)</f>
        <v>1.7999800000000001</v>
      </c>
      <c r="G15" s="24">
        <f>IFERROR(SUM(G5:G14), 0)</f>
        <v>0</v>
      </c>
      <c r="H15" s="24">
        <f>IFERROR(SUM(H5:H14), 0)</f>
        <v>1.7999800000000001</v>
      </c>
      <c r="J15" s="25"/>
      <c r="K15" s="25"/>
      <c r="L15" s="25"/>
      <c r="M15" s="25"/>
    </row>
    <row r="16" spans="1:13" ht="15.75" thickTop="1" x14ac:dyDescent="0.2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</row>
    <row r="17" spans="1:13" s="2" customFormat="1" ht="15.75" x14ac:dyDescent="0.3">
      <c r="A17" s="34" t="s">
        <v>100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</row>
    <row r="18" spans="1:13" s="3" customFormat="1" ht="14.25" x14ac:dyDescent="0.25">
      <c r="A18" s="12" t="s">
        <v>93</v>
      </c>
      <c r="B18" s="8" t="s">
        <v>50</v>
      </c>
      <c r="C18" s="8" t="s">
        <v>51</v>
      </c>
      <c r="D18" s="8" t="s">
        <v>75</v>
      </c>
      <c r="E18" s="8" t="s">
        <v>76</v>
      </c>
      <c r="F18" s="8" t="s">
        <v>77</v>
      </c>
      <c r="G18" s="8" t="s">
        <v>78</v>
      </c>
      <c r="H18" s="8" t="s">
        <v>79</v>
      </c>
      <c r="I18" s="8" t="s">
        <v>80</v>
      </c>
      <c r="J18" s="8" t="s">
        <v>81</v>
      </c>
      <c r="K18" s="8" t="s">
        <v>82</v>
      </c>
      <c r="L18" s="6"/>
      <c r="M18" s="6"/>
    </row>
    <row r="19" spans="1:13" x14ac:dyDescent="0.25">
      <c r="A19" s="16">
        <f>IFERROR(IF('1_INPUT_DATA'!A29="","",'1_INPUT_DATA'!A29),"")</f>
        <v>10</v>
      </c>
      <c r="B19" s="17" t="str">
        <f>IFERROR(IF('1_INPUT_DATA'!B29="","",'1_INPUT_DATA'!B29),"")</f>
        <v>PET Film Precision Sheet Cutting</v>
      </c>
      <c r="C19" s="16" t="str">
        <f>IFERROR(IF('1_INPUT_DATA'!C29="","",'1_INPUT_DATA'!C29),"")</f>
        <v>BZP01</v>
      </c>
      <c r="D19" s="26">
        <f>IFERROR(IF(OR('1_INPUT_DATA'!B29="", '1_INPUT_DATA'!E29="", '1_INPUT_DATA'!I29="", '1_INPUT_DATA'!E29=0, '1_INPUT_DATA'!I29=0), "", '1_INPUT_DATA'!D29/('1_INPUT_DATA'!E29*'1_INPUT_DATA'!I29)),"")</f>
        <v>8.5034013605442174E-4</v>
      </c>
      <c r="E19" s="27">
        <f>IFERROR(IF(OR('1_INPUT_DATA'!B29="", '1_INPUT_DATA'!F29="", '1_INPUT_DATA'!J29="", '1_INPUT_DATA'!F29=0, '1_INPUT_DATA'!J29=0), "", '1_INPUT_DATA'!D29/('1_INPUT_DATA'!F29*'1_INPUT_DATA'!J29)),"")</f>
        <v>8.5034013605442174E-4</v>
      </c>
      <c r="F19" s="18">
        <f>IFERROR(IF(OR('1_INPUT_DATA'!B29="", D19=""), "", D19*IFERROR(VLOOKUP('1_INPUT_DATA'!C29,'1_INPUT_DATA'!A$9:F$12,3,FALSE),0)),"")</f>
        <v>8.7500000000000008E-2</v>
      </c>
      <c r="G19" s="19">
        <f>IFERROR(IF(OR('1_INPUT_DATA'!B29="", E19=""), "", E19*IFERROR(VLOOKUP('1_INPUT_DATA'!C29,'1_INPUT_DATA'!A$9:F$12,3,FALSE),0)),"")</f>
        <v>8.7500000000000008E-2</v>
      </c>
      <c r="H19" s="18">
        <f>IFERROR(IF(OR('1_INPUT_DATA'!B29="", D19=""), "", D19*IFERROR(VLOOKUP('1_INPUT_DATA'!C29,'1_INPUT_DATA'!A$9:F$12,4,FALSE),0)),"")</f>
        <v>6.7738095238095236E-2</v>
      </c>
      <c r="I19" s="19">
        <f>IFERROR(IF(OR('1_INPUT_DATA'!B29="", E19=""), "", E19*IFERROR(VLOOKUP('1_INPUT_DATA'!C29,'1_INPUT_DATA'!A$9:F$12,4,FALSE),0)),"")</f>
        <v>6.7738095238095236E-2</v>
      </c>
      <c r="J19" s="19">
        <f>IFERROR(IF('1_INPUT_DATA'!B29="","", G19+I19),"")</f>
        <v>0.15523809523809523</v>
      </c>
      <c r="K19" s="20">
        <f>IFERROR(IF('1_INPUT_DATA'!B29="","", J19-(F19+H19)),"")</f>
        <v>0</v>
      </c>
      <c r="L19" s="7"/>
      <c r="M19" s="7"/>
    </row>
    <row r="20" spans="1:13" x14ac:dyDescent="0.25">
      <c r="A20" s="16">
        <f>IFERROR(IF('1_INPUT_DATA'!A30="","",'1_INPUT_DATA'!A30),"")</f>
        <v>20</v>
      </c>
      <c r="B20" s="17" t="str">
        <f>IFERROR(IF('1_INPUT_DATA'!B30="","",'1_INPUT_DATA'!B30),"")</f>
        <v>Optical Surface Cleaning &amp; De-ion</v>
      </c>
      <c r="C20" s="16" t="str">
        <f>IFERROR(IF('1_INPUT_DATA'!C30="","",'1_INPUT_DATA'!C30),"")</f>
        <v>BZP01</v>
      </c>
      <c r="D20" s="26">
        <f>IFERROR(IF(OR('1_INPUT_DATA'!B30="", '1_INPUT_DATA'!E30="", '1_INPUT_DATA'!I30="", '1_INPUT_DATA'!E30=0, '1_INPUT_DATA'!I30=0), "", '1_INPUT_DATA'!D30/('1_INPUT_DATA'!E30*'1_INPUT_DATA'!I30)),"")</f>
        <v>8.5034013605442174E-4</v>
      </c>
      <c r="E20" s="27">
        <f>IFERROR(IF(OR('1_INPUT_DATA'!B30="", '1_INPUT_DATA'!F30="", '1_INPUT_DATA'!J30="", '1_INPUT_DATA'!F30=0, '1_INPUT_DATA'!J30=0), "", '1_INPUT_DATA'!D30/('1_INPUT_DATA'!F30*'1_INPUT_DATA'!J30)),"")</f>
        <v>8.5034013605442174E-4</v>
      </c>
      <c r="F20" s="18">
        <f>IFERROR(IF(OR('1_INPUT_DATA'!B30="", D20=""), "", D20*IFERROR(VLOOKUP('1_INPUT_DATA'!C30,'1_INPUT_DATA'!A$9:F$12,3,FALSE),0)),"")</f>
        <v>8.7500000000000008E-2</v>
      </c>
      <c r="G20" s="19">
        <f>IFERROR(IF(OR('1_INPUT_DATA'!B30="", E20=""), "", E20*IFERROR(VLOOKUP('1_INPUT_DATA'!C30,'1_INPUT_DATA'!A$9:F$12,3,FALSE),0)),"")</f>
        <v>8.7500000000000008E-2</v>
      </c>
      <c r="H20" s="18">
        <f>IFERROR(IF(OR('1_INPUT_DATA'!B30="", D20=""), "", D20*IFERROR(VLOOKUP('1_INPUT_DATA'!C30,'1_INPUT_DATA'!A$9:F$12,4,FALSE),0)),"")</f>
        <v>6.7738095238095236E-2</v>
      </c>
      <c r="I20" s="19">
        <f>IFERROR(IF(OR('1_INPUT_DATA'!B30="", E20=""), "", E20*IFERROR(VLOOKUP('1_INPUT_DATA'!C30,'1_INPUT_DATA'!A$9:F$12,4,FALSE),0)),"")</f>
        <v>6.7738095238095236E-2</v>
      </c>
      <c r="J20" s="19">
        <f>IFERROR(IF('1_INPUT_DATA'!B30="","", G20+I20),"")</f>
        <v>0.15523809523809523</v>
      </c>
      <c r="K20" s="20">
        <f>IFERROR(IF('1_INPUT_DATA'!B30="","", J20-(F20+H20)),"")</f>
        <v>0</v>
      </c>
      <c r="L20" s="7"/>
      <c r="M20" s="7"/>
    </row>
    <row r="21" spans="1:13" x14ac:dyDescent="0.25">
      <c r="A21" s="16">
        <f>IFERROR(IF('1_INPUT_DATA'!A31="","",'1_INPUT_DATA'!A31),"")</f>
        <v>30</v>
      </c>
      <c r="B21" s="17" t="str">
        <f>IFERROR(IF('1_INPUT_DATA'!B31="","",'1_INPUT_DATA'!B31),"")</f>
        <v>Alignment Guide Punching</v>
      </c>
      <c r="C21" s="16" t="str">
        <f>IFERROR(IF('1_INPUT_DATA'!C31="","",'1_INPUT_DATA'!C31),"")</f>
        <v>BZP01</v>
      </c>
      <c r="D21" s="26">
        <f>IFERROR(IF(OR('1_INPUT_DATA'!B31="", '1_INPUT_DATA'!E31="", '1_INPUT_DATA'!I31="", '1_INPUT_DATA'!E31=0, '1_INPUT_DATA'!I31=0), "", '1_INPUT_DATA'!D31/('1_INPUT_DATA'!E31*'1_INPUT_DATA'!I31)),"")</f>
        <v>1.0204081632653062E-3</v>
      </c>
      <c r="E21" s="27">
        <f>IFERROR(IF(OR('1_INPUT_DATA'!B31="", '1_INPUT_DATA'!F31="", '1_INPUT_DATA'!J31="", '1_INPUT_DATA'!F31=0, '1_INPUT_DATA'!J31=0), "", '1_INPUT_DATA'!D31/('1_INPUT_DATA'!F31*'1_INPUT_DATA'!J31)),"")</f>
        <v>1.0204081632653062E-3</v>
      </c>
      <c r="F21" s="18">
        <f>IFERROR(IF(OR('1_INPUT_DATA'!B31="", D21=""), "", D21*IFERROR(VLOOKUP('1_INPUT_DATA'!C31,'1_INPUT_DATA'!A$9:F$12,3,FALSE),0)),"")</f>
        <v>0.10500000000000001</v>
      </c>
      <c r="G21" s="19">
        <f>IFERROR(IF(OR('1_INPUT_DATA'!B31="", E21=""), "", E21*IFERROR(VLOOKUP('1_INPUT_DATA'!C31,'1_INPUT_DATA'!A$9:F$12,3,FALSE),0)),"")</f>
        <v>0.10500000000000001</v>
      </c>
      <c r="H21" s="18">
        <f>IFERROR(IF(OR('1_INPUT_DATA'!B31="", D21=""), "", D21*IFERROR(VLOOKUP('1_INPUT_DATA'!C31,'1_INPUT_DATA'!A$9:F$12,4,FALSE),0)),"")</f>
        <v>8.1285714285714294E-2</v>
      </c>
      <c r="I21" s="19">
        <f>IFERROR(IF(OR('1_INPUT_DATA'!B31="", E21=""), "", E21*IFERROR(VLOOKUP('1_INPUT_DATA'!C31,'1_INPUT_DATA'!A$9:F$12,4,FALSE),0)),"")</f>
        <v>8.1285714285714294E-2</v>
      </c>
      <c r="J21" s="19">
        <f>IFERROR(IF('1_INPUT_DATA'!B31="","", G21+I21),"")</f>
        <v>0.1862857142857143</v>
      </c>
      <c r="K21" s="20">
        <f>IFERROR(IF('1_INPUT_DATA'!B31="","", J21-(F21+H21)),"")</f>
        <v>0</v>
      </c>
      <c r="L21" s="7"/>
      <c r="M21" s="7"/>
    </row>
    <row r="22" spans="1:13" x14ac:dyDescent="0.25">
      <c r="A22" s="16">
        <f>IFERROR(IF('1_INPUT_DATA'!A32="","",'1_INPUT_DATA'!A32),"")</f>
        <v>40</v>
      </c>
      <c r="B22" s="17" t="str">
        <f>IFERROR(IF('1_INPUT_DATA'!B32="","",'1_INPUT_DATA'!B32),"")</f>
        <v>Silver Conductor Circuit Screen Print</v>
      </c>
      <c r="C22" s="16" t="str">
        <f>IFERROR(IF('1_INPUT_DATA'!C32="","",'1_INPUT_DATA'!C32),"")</f>
        <v>BZP01</v>
      </c>
      <c r="D22" s="26">
        <f>IFERROR(IF(OR('1_INPUT_DATA'!B32="", '1_INPUT_DATA'!E32="", '1_INPUT_DATA'!I32="", '1_INPUT_DATA'!E32=0, '1_INPUT_DATA'!I32=0), "", '1_INPUT_DATA'!D32/('1_INPUT_DATA'!E32*'1_INPUT_DATA'!I32)),"")</f>
        <v>3.5087719298245615E-3</v>
      </c>
      <c r="E22" s="27">
        <f>IFERROR(IF(OR('1_INPUT_DATA'!B32="", '1_INPUT_DATA'!F32="", '1_INPUT_DATA'!J32="", '1_INPUT_DATA'!F32=0, '1_INPUT_DATA'!J32=0), "", '1_INPUT_DATA'!D32/('1_INPUT_DATA'!F32*'1_INPUT_DATA'!J32)),"")</f>
        <v>3.7037037037037038E-3</v>
      </c>
      <c r="F22" s="18">
        <f>IFERROR(IF(OR('1_INPUT_DATA'!B32="", D22=""), "", D22*IFERROR(VLOOKUP('1_INPUT_DATA'!C32,'1_INPUT_DATA'!A$9:F$12,3,FALSE),0)),"")</f>
        <v>0.3610526315789474</v>
      </c>
      <c r="G22" s="19">
        <f>IFERROR(IF(OR('1_INPUT_DATA'!B32="", E22=""), "", E22*IFERROR(VLOOKUP('1_INPUT_DATA'!C32,'1_INPUT_DATA'!A$9:F$12,3,FALSE),0)),"")</f>
        <v>0.38111111111111112</v>
      </c>
      <c r="H22" s="18">
        <f>IFERROR(IF(OR('1_INPUT_DATA'!B32="", D22=""), "", D22*IFERROR(VLOOKUP('1_INPUT_DATA'!C32,'1_INPUT_DATA'!A$9:F$12,4,FALSE),0)),"")</f>
        <v>0.27950877192982454</v>
      </c>
      <c r="I22" s="19">
        <f>IFERROR(IF(OR('1_INPUT_DATA'!B32="", E22=""), "", E22*IFERROR(VLOOKUP('1_INPUT_DATA'!C32,'1_INPUT_DATA'!A$9:F$12,4,FALSE),0)),"")</f>
        <v>0.29503703703703704</v>
      </c>
      <c r="J22" s="19">
        <f>IFERROR(IF('1_INPUT_DATA'!B32="","", G22+I22),"")</f>
        <v>0.67614814814814816</v>
      </c>
      <c r="K22" s="20">
        <f>IFERROR(IF('1_INPUT_DATA'!B32="","", J22-(F22+H22)),"")</f>
        <v>3.5586744639376278E-2</v>
      </c>
      <c r="L22" s="7"/>
      <c r="M22" s="7"/>
    </row>
    <row r="23" spans="1:13" x14ac:dyDescent="0.25">
      <c r="A23" s="16">
        <f>IFERROR(IF('1_INPUT_DATA'!A33="","",'1_INPUT_DATA'!A33),"")</f>
        <v>50</v>
      </c>
      <c r="B23" s="17" t="str">
        <f>IFERROR(IF('1_INPUT_DATA'!B33="","",'1_INPUT_DATA'!B33),"")</f>
        <v>Continuous Hot Air Curing</v>
      </c>
      <c r="C23" s="16" t="str">
        <f>IFERROR(IF('1_INPUT_DATA'!C33="","",'1_INPUT_DATA'!C33),"")</f>
        <v>BZP01</v>
      </c>
      <c r="D23" s="26">
        <f>IFERROR(IF(OR('1_INPUT_DATA'!B33="", '1_INPUT_DATA'!E33="", '1_INPUT_DATA'!I33="", '1_INPUT_DATA'!E33=0, '1_INPUT_DATA'!I33=0), "", '1_INPUT_DATA'!D33/('1_INPUT_DATA'!E33*'1_INPUT_DATA'!I33)),"")</f>
        <v>1.2755102040816326E-3</v>
      </c>
      <c r="E23" s="27">
        <f>IFERROR(IF(OR('1_INPUT_DATA'!B33="", '1_INPUT_DATA'!F33="", '1_INPUT_DATA'!J33="", '1_INPUT_DATA'!F33=0, '1_INPUT_DATA'!J33=0), "", '1_INPUT_DATA'!D33/('1_INPUT_DATA'!F33*'1_INPUT_DATA'!J33)),"")</f>
        <v>1.2755102040816326E-3</v>
      </c>
      <c r="F23" s="18">
        <f>IFERROR(IF(OR('1_INPUT_DATA'!B33="", D23=""), "", D23*IFERROR(VLOOKUP('1_INPUT_DATA'!C33,'1_INPUT_DATA'!A$9:F$12,3,FALSE),0)),"")</f>
        <v>0.13125000000000001</v>
      </c>
      <c r="G23" s="19">
        <f>IFERROR(IF(OR('1_INPUT_DATA'!B33="", E23=""), "", E23*IFERROR(VLOOKUP('1_INPUT_DATA'!C33,'1_INPUT_DATA'!A$9:F$12,3,FALSE),0)),"")</f>
        <v>0.13125000000000001</v>
      </c>
      <c r="H23" s="18">
        <f>IFERROR(IF(OR('1_INPUT_DATA'!B33="", D23=""), "", D23*IFERROR(VLOOKUP('1_INPUT_DATA'!C33,'1_INPUT_DATA'!A$9:F$12,4,FALSE),0)),"")</f>
        <v>0.10160714285714284</v>
      </c>
      <c r="I23" s="19">
        <f>IFERROR(IF(OR('1_INPUT_DATA'!B33="", E23=""), "", E23*IFERROR(VLOOKUP('1_INPUT_DATA'!C33,'1_INPUT_DATA'!A$9:F$12,4,FALSE),0)),"")</f>
        <v>0.10160714285714284</v>
      </c>
      <c r="J23" s="19">
        <f>IFERROR(IF('1_INPUT_DATA'!B33="","", G23+I23),"")</f>
        <v>0.23285714285714285</v>
      </c>
      <c r="K23" s="20">
        <f>IFERROR(IF('1_INPUT_DATA'!B33="","", J23-(F23+H23)),"")</f>
        <v>0</v>
      </c>
      <c r="L23" s="7"/>
      <c r="M23" s="7"/>
    </row>
    <row r="24" spans="1:13" x14ac:dyDescent="0.25">
      <c r="A24" s="16">
        <f>IFERROR(IF('1_INPUT_DATA'!A34="","",'1_INPUT_DATA'!A34),"")</f>
        <v>60</v>
      </c>
      <c r="B24" s="17" t="str">
        <f>IFERROR(IF('1_INPUT_DATA'!B34="","",'1_INPUT_DATA'!B34),"")</f>
        <v>Carbon Overcoat Screen Print</v>
      </c>
      <c r="C24" s="16" t="str">
        <f>IFERROR(IF('1_INPUT_DATA'!C34="","",'1_INPUT_DATA'!C34),"")</f>
        <v>BZP01</v>
      </c>
      <c r="D24" s="26">
        <f>IFERROR(IF(OR('1_INPUT_DATA'!B34="", '1_INPUT_DATA'!E34="", '1_INPUT_DATA'!I34="", '1_INPUT_DATA'!E34=0, '1_INPUT_DATA'!I34=0), "", '1_INPUT_DATA'!D34/('1_INPUT_DATA'!E34*'1_INPUT_DATA'!I34)),"")</f>
        <v>3.5087719298245615E-3</v>
      </c>
      <c r="E24" s="27">
        <f>IFERROR(IF(OR('1_INPUT_DATA'!B34="", '1_INPUT_DATA'!F34="", '1_INPUT_DATA'!J34="", '1_INPUT_DATA'!F34=0, '1_INPUT_DATA'!J34=0), "", '1_INPUT_DATA'!D34/('1_INPUT_DATA'!F34*'1_INPUT_DATA'!J34)),"")</f>
        <v>3.7037037037037038E-3</v>
      </c>
      <c r="F24" s="18">
        <f>IFERROR(IF(OR('1_INPUT_DATA'!B34="", D24=""), "", D24*IFERROR(VLOOKUP('1_INPUT_DATA'!C34,'1_INPUT_DATA'!A$9:F$12,3,FALSE),0)),"")</f>
        <v>0.3610526315789474</v>
      </c>
      <c r="G24" s="19">
        <f>IFERROR(IF(OR('1_INPUT_DATA'!B34="", E24=""), "", E24*IFERROR(VLOOKUP('1_INPUT_DATA'!C34,'1_INPUT_DATA'!A$9:F$12,3,FALSE),0)),"")</f>
        <v>0.38111111111111112</v>
      </c>
      <c r="H24" s="18">
        <f>IFERROR(IF(OR('1_INPUT_DATA'!B34="", D24=""), "", D24*IFERROR(VLOOKUP('1_INPUT_DATA'!C34,'1_INPUT_DATA'!A$9:F$12,4,FALSE),0)),"")</f>
        <v>0.27950877192982454</v>
      </c>
      <c r="I24" s="19">
        <f>IFERROR(IF(OR('1_INPUT_DATA'!B34="", E24=""), "", E24*IFERROR(VLOOKUP('1_INPUT_DATA'!C34,'1_INPUT_DATA'!A$9:F$12,4,FALSE),0)),"")</f>
        <v>0.29503703703703704</v>
      </c>
      <c r="J24" s="19">
        <f>IFERROR(IF('1_INPUT_DATA'!B34="","", G24+I24),"")</f>
        <v>0.67614814814814816</v>
      </c>
      <c r="K24" s="20">
        <f>IFERROR(IF('1_INPUT_DATA'!B34="","", J24-(F24+H24)),"")</f>
        <v>3.5586744639376278E-2</v>
      </c>
      <c r="L24" s="7"/>
      <c r="M24" s="7"/>
    </row>
    <row r="25" spans="1:13" x14ac:dyDescent="0.25">
      <c r="A25" s="16">
        <f>IFERROR(IF('1_INPUT_DATA'!A35="","",'1_INPUT_DATA'!A35),"")</f>
        <v>70</v>
      </c>
      <c r="B25" s="17" t="str">
        <f>IFERROR(IF('1_INPUT_DATA'!B35="","",'1_INPUT_DATA'!B35),"")</f>
        <v>Electrical Function Test &amp; AOI</v>
      </c>
      <c r="C25" s="16" t="str">
        <f>IFERROR(IF('1_INPUT_DATA'!C35="","",'1_INPUT_DATA'!C35),"")</f>
        <v>BZP01</v>
      </c>
      <c r="D25" s="26">
        <f>IFERROR(IF(OR('1_INPUT_DATA'!B35="", '1_INPUT_DATA'!E35="", '1_INPUT_DATA'!I35="", '1_INPUT_DATA'!E35=0, '1_INPUT_DATA'!I35=0), "", '1_INPUT_DATA'!D35/('1_INPUT_DATA'!E35*'1_INPUT_DATA'!I35)),"")</f>
        <v>1.1337868480725624E-3</v>
      </c>
      <c r="E25" s="27">
        <f>IFERROR(IF(OR('1_INPUT_DATA'!B35="", '1_INPUT_DATA'!F35="", '1_INPUT_DATA'!J35="", '1_INPUT_DATA'!F35=0, '1_INPUT_DATA'!J35=0), "", '1_INPUT_DATA'!D35/('1_INPUT_DATA'!F35*'1_INPUT_DATA'!J35)),"")</f>
        <v>1.1337868480725624E-3</v>
      </c>
      <c r="F25" s="18">
        <f>IFERROR(IF(OR('1_INPUT_DATA'!B35="", D25=""), "", D25*IFERROR(VLOOKUP('1_INPUT_DATA'!C35,'1_INPUT_DATA'!A$9:F$12,3,FALSE),0)),"")</f>
        <v>0.11666666666666668</v>
      </c>
      <c r="G25" s="19">
        <f>IFERROR(IF(OR('1_INPUT_DATA'!B35="", E25=""), "", E25*IFERROR(VLOOKUP('1_INPUT_DATA'!C35,'1_INPUT_DATA'!A$9:F$12,3,FALSE),0)),"")</f>
        <v>0.11666666666666668</v>
      </c>
      <c r="H25" s="18">
        <f>IFERROR(IF(OR('1_INPUT_DATA'!B35="", D25=""), "", D25*IFERROR(VLOOKUP('1_INPUT_DATA'!C35,'1_INPUT_DATA'!A$9:F$12,4,FALSE),0)),"")</f>
        <v>9.031746031746031E-2</v>
      </c>
      <c r="I25" s="19">
        <f>IFERROR(IF(OR('1_INPUT_DATA'!B35="", E25=""), "", E25*IFERROR(VLOOKUP('1_INPUT_DATA'!C35,'1_INPUT_DATA'!A$9:F$12,4,FALSE),0)),"")</f>
        <v>9.031746031746031E-2</v>
      </c>
      <c r="J25" s="19">
        <f>IFERROR(IF('1_INPUT_DATA'!B35="","", G25+I25),"")</f>
        <v>0.20698412698412699</v>
      </c>
      <c r="K25" s="20">
        <f>IFERROR(IF('1_INPUT_DATA'!B35="","", J25-(F25+H25)),"")</f>
        <v>0</v>
      </c>
      <c r="L25" s="7"/>
      <c r="M25" s="7"/>
    </row>
    <row r="26" spans="1:13" x14ac:dyDescent="0.25">
      <c r="A26" s="16">
        <f>IFERROR(IF('1_INPUT_DATA'!A36="","",'1_INPUT_DATA'!A36),"")</f>
        <v>80</v>
      </c>
      <c r="B26" s="17" t="str">
        <f>IFERROR(IF('1_INPUT_DATA'!B36="","",'1_INPUT_DATA'!B36),"")</f>
        <v>Graphic Overlay Silk Screen Print</v>
      </c>
      <c r="C26" s="16" t="str">
        <f>IFERROR(IF('1_INPUT_DATA'!C36="","",'1_INPUT_DATA'!C36),"")</f>
        <v>BFK01</v>
      </c>
      <c r="D26" s="26">
        <f>IFERROR(IF(OR('1_INPUT_DATA'!B36="", '1_INPUT_DATA'!E36="", '1_INPUT_DATA'!I36="", '1_INPUT_DATA'!E36=0, '1_INPUT_DATA'!I36=0), "", '1_INPUT_DATA'!D36/('1_INPUT_DATA'!E36*'1_INPUT_DATA'!I36)),"")</f>
        <v>3.787878787878788E-3</v>
      </c>
      <c r="E26" s="27">
        <f>IFERROR(IF(OR('1_INPUT_DATA'!B36="", '1_INPUT_DATA'!F36="", '1_INPUT_DATA'!J36="", '1_INPUT_DATA'!F36=0, '1_INPUT_DATA'!J36=0), "", '1_INPUT_DATA'!D36/('1_INPUT_DATA'!F36*'1_INPUT_DATA'!J36)),"")</f>
        <v>3.787878787878788E-3</v>
      </c>
      <c r="F26" s="18">
        <f>IFERROR(IF(OR('1_INPUT_DATA'!B36="", D26=""), "", D26*IFERROR(VLOOKUP('1_INPUT_DATA'!C36,'1_INPUT_DATA'!A$9:F$12,3,FALSE),0)),"")</f>
        <v>0.38977272727272733</v>
      </c>
      <c r="G26" s="19">
        <f>IFERROR(IF(OR('1_INPUT_DATA'!B36="", E26=""), "", E26*IFERROR(VLOOKUP('1_INPUT_DATA'!C36,'1_INPUT_DATA'!A$9:F$12,3,FALSE),0)),"")</f>
        <v>0.38977272727272733</v>
      </c>
      <c r="H26" s="18">
        <f>IFERROR(IF(OR('1_INPUT_DATA'!B36="", D26=""), "", D26*IFERROR(VLOOKUP('1_INPUT_DATA'!C36,'1_INPUT_DATA'!A$9:F$12,4,FALSE),0)),"")</f>
        <v>0.30174242424242426</v>
      </c>
      <c r="I26" s="19">
        <f>IFERROR(IF(OR('1_INPUT_DATA'!B36="", E26=""), "", E26*IFERROR(VLOOKUP('1_INPUT_DATA'!C36,'1_INPUT_DATA'!A$9:F$12,4,FALSE),0)),"")</f>
        <v>0.30174242424242426</v>
      </c>
      <c r="J26" s="19">
        <f>IFERROR(IF('1_INPUT_DATA'!B36="","", G26+I26),"")</f>
        <v>0.69151515151515164</v>
      </c>
      <c r="K26" s="20">
        <f>IFERROR(IF('1_INPUT_DATA'!B36="","", J26-(F26+H26)),"")</f>
        <v>0</v>
      </c>
      <c r="L26" s="7"/>
      <c r="M26" s="7"/>
    </row>
    <row r="27" spans="1:13" x14ac:dyDescent="0.25">
      <c r="A27" s="16">
        <f>IFERROR(IF('1_INPUT_DATA'!A37="","",'1_INPUT_DATA'!A37),"")</f>
        <v>90</v>
      </c>
      <c r="B27" s="17" t="str">
        <f>IFERROR(IF('1_INPUT_DATA'!B37="","",'1_INPUT_DATA'!B37),"")</f>
        <v>Spacer Tape Die-Cutting &amp; Punch</v>
      </c>
      <c r="C27" s="16" t="str">
        <f>IFERROR(IF('1_INPUT_DATA'!C37="","",'1_INPUT_DATA'!C37),"")</f>
        <v>BFK01</v>
      </c>
      <c r="D27" s="26">
        <f>IFERROR(IF(OR('1_INPUT_DATA'!B37="", '1_INPUT_DATA'!E37="", '1_INPUT_DATA'!I37="", '1_INPUT_DATA'!E37=0, '1_INPUT_DATA'!I37=0), "", '1_INPUT_DATA'!D37/('1_INPUT_DATA'!E37*'1_INPUT_DATA'!I37)),"")</f>
        <v>1.288659793814433E-3</v>
      </c>
      <c r="E27" s="27">
        <f>IFERROR(IF(OR('1_INPUT_DATA'!B37="", '1_INPUT_DATA'!F37="", '1_INPUT_DATA'!J37="", '1_INPUT_DATA'!F37=0, '1_INPUT_DATA'!J37=0), "", '1_INPUT_DATA'!D37/('1_INPUT_DATA'!F37*'1_INPUT_DATA'!J37)),"")</f>
        <v>1.288659793814433E-3</v>
      </c>
      <c r="F27" s="18">
        <f>IFERROR(IF(OR('1_INPUT_DATA'!B37="", D27=""), "", D27*IFERROR(VLOOKUP('1_INPUT_DATA'!C37,'1_INPUT_DATA'!A$9:F$12,3,FALSE),0)),"")</f>
        <v>0.13260309278350516</v>
      </c>
      <c r="G27" s="19">
        <f>IFERROR(IF(OR('1_INPUT_DATA'!B37="", E27=""), "", E27*IFERROR(VLOOKUP('1_INPUT_DATA'!C37,'1_INPUT_DATA'!A$9:F$12,3,FALSE),0)),"")</f>
        <v>0.13260309278350516</v>
      </c>
      <c r="H27" s="18">
        <f>IFERROR(IF(OR('1_INPUT_DATA'!B37="", D27=""), "", D27*IFERROR(VLOOKUP('1_INPUT_DATA'!C37,'1_INPUT_DATA'!A$9:F$12,4,FALSE),0)),"")</f>
        <v>0.10265463917525773</v>
      </c>
      <c r="I27" s="19">
        <f>IFERROR(IF(OR('1_INPUT_DATA'!B37="", E27=""), "", E27*IFERROR(VLOOKUP('1_INPUT_DATA'!C37,'1_INPUT_DATA'!A$9:F$12,4,FALSE),0)),"")</f>
        <v>0.10265463917525773</v>
      </c>
      <c r="J27" s="19">
        <f>IFERROR(IF('1_INPUT_DATA'!B37="","", G27+I27),"")</f>
        <v>0.23525773195876287</v>
      </c>
      <c r="K27" s="20">
        <f>IFERROR(IF('1_INPUT_DATA'!B37="","", J27-(F27+H27)),"")</f>
        <v>0</v>
      </c>
      <c r="L27" s="7"/>
      <c r="M27" s="7"/>
    </row>
    <row r="28" spans="1:13" x14ac:dyDescent="0.25">
      <c r="A28" s="16">
        <f>IFERROR(IF('1_INPUT_DATA'!A38="","",'1_INPUT_DATA'!A38),"")</f>
        <v>100</v>
      </c>
      <c r="B28" s="17" t="str">
        <f>IFERROR(IF('1_INPUT_DATA'!B38="","",'1_INPUT_DATA'!B38),"")</f>
        <v>Automated Sheet Lamination</v>
      </c>
      <c r="C28" s="16" t="str">
        <f>IFERROR(IF('1_INPUT_DATA'!C38="","",'1_INPUT_DATA'!C38),"")</f>
        <v>BFP01</v>
      </c>
      <c r="D28" s="26">
        <f>IFERROR(IF(OR('1_INPUT_DATA'!B38="", '1_INPUT_DATA'!E38="", '1_INPUT_DATA'!I38="", '1_INPUT_DATA'!E38=0, '1_INPUT_DATA'!I38=0), "", '1_INPUT_DATA'!D38/('1_INPUT_DATA'!E38*'1_INPUT_DATA'!I38)),"")</f>
        <v>4.5819014891179842E-3</v>
      </c>
      <c r="E28" s="27">
        <f>IFERROR(IF(OR('1_INPUT_DATA'!B38="", '1_INPUT_DATA'!F38="", '1_INPUT_DATA'!J38="", '1_INPUT_DATA'!F38=0, '1_INPUT_DATA'!J38=0), "", '1_INPUT_DATA'!D38/('1_INPUT_DATA'!F38*'1_INPUT_DATA'!J38)),"")</f>
        <v>4.5819014891179842E-3</v>
      </c>
      <c r="F28" s="18">
        <f>IFERROR(IF(OR('1_INPUT_DATA'!B38="", D28=""), "", D28*IFERROR(VLOOKUP('1_INPUT_DATA'!C38,'1_INPUT_DATA'!A$9:F$12,3,FALSE),0)),"")</f>
        <v>0.4714776632302406</v>
      </c>
      <c r="G28" s="19">
        <f>IFERROR(IF(OR('1_INPUT_DATA'!B38="", E28=""), "", E28*IFERROR(VLOOKUP('1_INPUT_DATA'!C38,'1_INPUT_DATA'!A$9:F$12,3,FALSE),0)),"")</f>
        <v>0.4714776632302406</v>
      </c>
      <c r="H28" s="18">
        <f>IFERROR(IF(OR('1_INPUT_DATA'!B38="", D28=""), "", D28*IFERROR(VLOOKUP('1_INPUT_DATA'!C38,'1_INPUT_DATA'!A$9:F$12,4,FALSE),0)),"")</f>
        <v>0.3649942726231386</v>
      </c>
      <c r="I28" s="19">
        <f>IFERROR(IF(OR('1_INPUT_DATA'!B38="", E28=""), "", E28*IFERROR(VLOOKUP('1_INPUT_DATA'!C38,'1_INPUT_DATA'!A$9:F$12,4,FALSE),0)),"")</f>
        <v>0.3649942726231386</v>
      </c>
      <c r="J28" s="19">
        <f>IFERROR(IF('1_INPUT_DATA'!B38="","", G28+I28),"")</f>
        <v>0.8364719358533792</v>
      </c>
      <c r="K28" s="20">
        <f>IFERROR(IF('1_INPUT_DATA'!B38="","", J28-(F28+H28)),"")</f>
        <v>0</v>
      </c>
      <c r="L28" s="7"/>
      <c r="M28" s="7"/>
    </row>
    <row r="29" spans="1:13" x14ac:dyDescent="0.25">
      <c r="A29" s="16">
        <f>IFERROR(IF('1_INPUT_DATA'!A39="","",'1_INPUT_DATA'!A39),"")</f>
        <v>110</v>
      </c>
      <c r="B29" s="17" t="str">
        <f>IFERROR(IF('1_INPUT_DATA'!B39="","",'1_INPUT_DATA'!B39),"")</f>
        <v>Actuation Force &amp; Function QA</v>
      </c>
      <c r="C29" s="16" t="str">
        <f>IFERROR(IF('1_INPUT_DATA'!C39="","",'1_INPUT_DATA'!C39),"")</f>
        <v>BFP01</v>
      </c>
      <c r="D29" s="26">
        <f>IFERROR(IF(OR('1_INPUT_DATA'!B39="", '1_INPUT_DATA'!E39="", '1_INPUT_DATA'!I39="", '1_INPUT_DATA'!E39=0, '1_INPUT_DATA'!I39=0), "", '1_INPUT_DATA'!D39/('1_INPUT_DATA'!E39*'1_INPUT_DATA'!I39)),"")</f>
        <v>1.7006802721088435E-3</v>
      </c>
      <c r="E29" s="27">
        <f>IFERROR(IF(OR('1_INPUT_DATA'!B39="", '1_INPUT_DATA'!F39="", '1_INPUT_DATA'!J39="", '1_INPUT_DATA'!F39=0, '1_INPUT_DATA'!J39=0), "", '1_INPUT_DATA'!D39/('1_INPUT_DATA'!F39*'1_INPUT_DATA'!J39)),"")</f>
        <v>1.7006802721088435E-3</v>
      </c>
      <c r="F29" s="18">
        <f>IFERROR(IF(OR('1_INPUT_DATA'!B39="", D29=""), "", D29*IFERROR(VLOOKUP('1_INPUT_DATA'!C39,'1_INPUT_DATA'!A$9:F$12,3,FALSE),0)),"")</f>
        <v>0.17500000000000002</v>
      </c>
      <c r="G29" s="19">
        <f>IFERROR(IF(OR('1_INPUT_DATA'!B39="", E29=""), "", E29*IFERROR(VLOOKUP('1_INPUT_DATA'!C39,'1_INPUT_DATA'!A$9:F$12,3,FALSE),0)),"")</f>
        <v>0.17500000000000002</v>
      </c>
      <c r="H29" s="18">
        <f>IFERROR(IF(OR('1_INPUT_DATA'!B39="", D29=""), "", D29*IFERROR(VLOOKUP('1_INPUT_DATA'!C39,'1_INPUT_DATA'!A$9:F$12,4,FALSE),0)),"")</f>
        <v>0.13547619047619047</v>
      </c>
      <c r="I29" s="19">
        <f>IFERROR(IF(OR('1_INPUT_DATA'!B39="", E29=""), "", E29*IFERROR(VLOOKUP('1_INPUT_DATA'!C39,'1_INPUT_DATA'!A$9:F$12,4,FALSE),0)),"")</f>
        <v>0.13547619047619047</v>
      </c>
      <c r="J29" s="19">
        <f>IFERROR(IF('1_INPUT_DATA'!B39="","", G29+I29),"")</f>
        <v>0.31047619047619046</v>
      </c>
      <c r="K29" s="20">
        <f>IFERROR(IF('1_INPUT_DATA'!B39="","", J29-(F29+H29)),"")</f>
        <v>0</v>
      </c>
      <c r="L29" s="7"/>
      <c r="M29" s="7"/>
    </row>
    <row r="30" spans="1:13" x14ac:dyDescent="0.25">
      <c r="A30" s="16">
        <f>IFERROR(IF('1_INPUT_DATA'!A40="","",'1_INPUT_DATA'!A40),"")</f>
        <v>120</v>
      </c>
      <c r="B30" s="17" t="str">
        <f>IFERROR(IF('1_INPUT_DATA'!B40="","",'1_INPUT_DATA'!B40),"")</f>
        <v>Poly-bagging &amp; Carton Packing</v>
      </c>
      <c r="C30" s="16" t="str">
        <f>IFERROR(IF('1_INPUT_DATA'!C40="","",'1_INPUT_DATA'!C40),"")</f>
        <v>BPP01</v>
      </c>
      <c r="D30" s="26">
        <f>IFERROR(IF(OR('1_INPUT_DATA'!B40="", '1_INPUT_DATA'!E40="", '1_INPUT_DATA'!I40="", '1_INPUT_DATA'!E40=0, '1_INPUT_DATA'!I40=0), "", '1_INPUT_DATA'!D40/('1_INPUT_DATA'!E40*'1_INPUT_DATA'!I40)),"")</f>
        <v>1.3468013468013469E-3</v>
      </c>
      <c r="E30" s="27">
        <f>IFERROR(IF(OR('1_INPUT_DATA'!B40="", '1_INPUT_DATA'!F40="", '1_INPUT_DATA'!J40="", '1_INPUT_DATA'!F40=0, '1_INPUT_DATA'!J40=0), "", '1_INPUT_DATA'!D40/('1_INPUT_DATA'!F40*'1_INPUT_DATA'!J40)),"")</f>
        <v>1.3468013468013469E-3</v>
      </c>
      <c r="F30" s="18">
        <f>IFERROR(IF(OR('1_INPUT_DATA'!B40="", D30=""), "", D30*IFERROR(VLOOKUP('1_INPUT_DATA'!C40,'1_INPUT_DATA'!A$9:F$12,3,FALSE),0)),"")</f>
        <v>0.13858585858585859</v>
      </c>
      <c r="G30" s="19">
        <f>IFERROR(IF(OR('1_INPUT_DATA'!B40="", E30=""), "", E30*IFERROR(VLOOKUP('1_INPUT_DATA'!C40,'1_INPUT_DATA'!A$9:F$12,3,FALSE),0)),"")</f>
        <v>0.13858585858585859</v>
      </c>
      <c r="H30" s="18">
        <f>IFERROR(IF(OR('1_INPUT_DATA'!B40="", D30=""), "", D30*IFERROR(VLOOKUP('1_INPUT_DATA'!C40,'1_INPUT_DATA'!A$9:F$12,4,FALSE),0)),"")</f>
        <v>0.10728619528619529</v>
      </c>
      <c r="I30" s="19">
        <f>IFERROR(IF(OR('1_INPUT_DATA'!B40="", E30=""), "", E30*IFERROR(VLOOKUP('1_INPUT_DATA'!C40,'1_INPUT_DATA'!A$9:F$12,4,FALSE),0)),"")</f>
        <v>0.10728619528619529</v>
      </c>
      <c r="J30" s="19">
        <f>IFERROR(IF('1_INPUT_DATA'!B40="","", G30+I30),"")</f>
        <v>0.24587205387205388</v>
      </c>
      <c r="K30" s="20">
        <f>IFERROR(IF('1_INPUT_DATA'!B40="","", J30-(F30+H30)),"")</f>
        <v>0</v>
      </c>
      <c r="L30" s="7"/>
      <c r="M30" s="7"/>
    </row>
    <row r="31" spans="1:13" s="13" customFormat="1" ht="14.25" x14ac:dyDescent="0.25">
      <c r="A31" s="50" t="s">
        <v>101</v>
      </c>
      <c r="B31" s="22" t="s">
        <v>74</v>
      </c>
      <c r="C31" s="22" t="s">
        <v>74</v>
      </c>
      <c r="D31" s="22" t="s">
        <v>74</v>
      </c>
      <c r="E31" s="22" t="s">
        <v>74</v>
      </c>
      <c r="F31" s="23">
        <f t="shared" ref="F31:K31" si="0">IFERROR(SUM(F19:F30), 0)</f>
        <v>2.5574612716968934</v>
      </c>
      <c r="G31" s="23">
        <f t="shared" si="0"/>
        <v>2.5975782307612203</v>
      </c>
      <c r="H31" s="23">
        <f t="shared" si="0"/>
        <v>1.9798577735993632</v>
      </c>
      <c r="I31" s="23">
        <f t="shared" si="0"/>
        <v>2.0109143038137884</v>
      </c>
      <c r="J31" s="23">
        <f t="shared" si="0"/>
        <v>4.6084925345750092</v>
      </c>
      <c r="K31" s="24">
        <f t="shared" si="0"/>
        <v>7.1173489278752555E-2</v>
      </c>
      <c r="L31" s="25"/>
      <c r="M31" s="25"/>
    </row>
    <row r="32" spans="1:13" x14ac:dyDescent="0.2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</row>
    <row r="33" spans="1:13" s="2" customFormat="1" ht="15.75" x14ac:dyDescent="0.3">
      <c r="A33" s="34" t="s">
        <v>108</v>
      </c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</row>
    <row r="34" spans="1:13" s="3" customFormat="1" ht="14.25" x14ac:dyDescent="0.25">
      <c r="A34" s="8" t="s">
        <v>83</v>
      </c>
      <c r="B34" s="12" t="s">
        <v>106</v>
      </c>
      <c r="C34" s="8" t="s">
        <v>84</v>
      </c>
      <c r="D34" s="12" t="s">
        <v>107</v>
      </c>
      <c r="E34" s="8" t="s">
        <v>85</v>
      </c>
      <c r="H34" s="6"/>
      <c r="I34" s="6"/>
      <c r="J34" s="6"/>
      <c r="K34" s="6"/>
      <c r="L34" s="6"/>
      <c r="M34" s="6"/>
    </row>
    <row r="35" spans="1:13" x14ac:dyDescent="0.25">
      <c r="A35" s="51" t="s">
        <v>102</v>
      </c>
      <c r="B35" s="28">
        <f>IFERROR(D15, 0)</f>
        <v>18.86722</v>
      </c>
      <c r="C35" s="29">
        <f>IFERROR(E15, 0)</f>
        <v>20.667199999999998</v>
      </c>
      <c r="D35" s="30">
        <f>IFERROR(C35-B35, 0)</f>
        <v>1.7999799999999979</v>
      </c>
      <c r="E35" s="31">
        <f>IFERROR(IF(B35&gt;0,D35/B35,0), 0)</f>
        <v>9.5402502329436867E-2</v>
      </c>
      <c r="H35" s="7"/>
      <c r="I35" s="7"/>
      <c r="J35" s="7"/>
      <c r="K35" s="7"/>
      <c r="L35" s="7"/>
      <c r="M35" s="7"/>
    </row>
    <row r="36" spans="1:13" x14ac:dyDescent="0.25">
      <c r="A36" s="51" t="s">
        <v>103</v>
      </c>
      <c r="B36" s="28">
        <f>IFERROR(F31, 0)</f>
        <v>2.5574612716968934</v>
      </c>
      <c r="C36" s="29">
        <f>IFERROR(G31, 0)</f>
        <v>2.5975782307612203</v>
      </c>
      <c r="D36" s="30">
        <f>IFERROR(C36-B36, 0)</f>
        <v>4.0116959064326885E-2</v>
      </c>
      <c r="E36" s="31">
        <f>IFERROR(IF(B36&gt;0,D36/B36,0), 0)</f>
        <v>1.5686243036520747E-2</v>
      </c>
      <c r="H36" s="7"/>
      <c r="I36" s="7"/>
      <c r="J36" s="7"/>
      <c r="K36" s="7"/>
      <c r="L36" s="7"/>
      <c r="M36" s="7"/>
    </row>
    <row r="37" spans="1:13" x14ac:dyDescent="0.25">
      <c r="A37" s="51" t="s">
        <v>104</v>
      </c>
      <c r="B37" s="28">
        <f>IFERROR(H31, 0)</f>
        <v>1.9798577735993632</v>
      </c>
      <c r="C37" s="29">
        <f>IFERROR(I31, 0)</f>
        <v>2.0109143038137884</v>
      </c>
      <c r="D37" s="30">
        <f>IFERROR(C37-B37, 0)</f>
        <v>3.1056530214425226E-2</v>
      </c>
      <c r="E37" s="31">
        <f>IFERROR(IF(B37&gt;0,D37/B37,0), 0)</f>
        <v>1.5686243036521122E-2</v>
      </c>
      <c r="H37" s="7"/>
      <c r="I37" s="7"/>
      <c r="J37" s="7"/>
      <c r="K37" s="7"/>
      <c r="L37" s="7"/>
      <c r="M37" s="7"/>
    </row>
    <row r="38" spans="1:13" s="13" customFormat="1" thickBot="1" x14ac:dyDescent="0.3">
      <c r="A38" s="50" t="s">
        <v>105</v>
      </c>
      <c r="B38" s="23">
        <f>IFERROR(SUM(B35:B37), 0)</f>
        <v>23.404539045296257</v>
      </c>
      <c r="C38" s="23">
        <f>IFERROR(SUM(C35:C37), 0)</f>
        <v>25.275692534575004</v>
      </c>
      <c r="D38" s="24">
        <f>IFERROR(C38-B38, 0)</f>
        <v>1.8711534892787469</v>
      </c>
      <c r="E38" s="32">
        <f>IFERROR(IF(B38&gt;0,D38/B38,0), 0)</f>
        <v>7.9948316249996959E-2</v>
      </c>
      <c r="H38" s="25"/>
      <c r="I38" s="25"/>
      <c r="J38" s="25"/>
      <c r="K38" s="25"/>
      <c r="L38" s="25"/>
      <c r="M38" s="25"/>
    </row>
    <row r="39" spans="1:13" ht="15.75" thickTop="1" x14ac:dyDescent="0.2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</row>
    <row r="40" spans="1:13" s="2" customFormat="1" ht="15.75" x14ac:dyDescent="0.3">
      <c r="A40" s="10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spans="1:13" s="3" customFormat="1" ht="14.25" x14ac:dyDescent="0.25">
      <c r="A41" s="6"/>
      <c r="B41" s="6"/>
      <c r="C41" s="6"/>
      <c r="D41" s="6"/>
      <c r="E41" s="6"/>
      <c r="F41" s="6"/>
      <c r="G41" s="6"/>
      <c r="H41" s="6"/>
      <c r="J41" s="6"/>
      <c r="K41" s="6"/>
      <c r="L41" s="6"/>
      <c r="M41" s="6"/>
    </row>
    <row r="42" spans="1:13" x14ac:dyDescent="0.25">
      <c r="A42" s="7"/>
      <c r="B42" s="7"/>
      <c r="C42" s="7"/>
      <c r="D42" s="7"/>
      <c r="E42" s="7"/>
      <c r="F42" s="7"/>
      <c r="G42" s="7"/>
      <c r="H42" s="7"/>
      <c r="J42" s="7"/>
      <c r="K42" s="7"/>
      <c r="L42" s="7"/>
      <c r="M42" s="7"/>
    </row>
    <row r="43" spans="1:13" x14ac:dyDescent="0.25">
      <c r="A43" s="7"/>
      <c r="B43" s="7"/>
      <c r="C43" s="7"/>
      <c r="D43" s="7"/>
      <c r="E43" s="7"/>
      <c r="F43" s="7"/>
      <c r="G43" s="7"/>
      <c r="H43" s="7"/>
      <c r="J43" s="7"/>
      <c r="K43" s="7"/>
      <c r="L43" s="7"/>
      <c r="M43" s="7"/>
    </row>
    <row r="44" spans="1:13" x14ac:dyDescent="0.25">
      <c r="A44" s="7"/>
      <c r="B44" s="7"/>
      <c r="C44" s="7"/>
      <c r="D44" s="7"/>
      <c r="E44" s="7"/>
      <c r="F44" s="7"/>
      <c r="G44" s="7"/>
      <c r="H44" s="7"/>
      <c r="J44" s="7"/>
      <c r="K44" s="7"/>
      <c r="L44" s="7"/>
      <c r="M44" s="7"/>
    </row>
    <row r="45" spans="1:13" x14ac:dyDescent="0.25">
      <c r="A45" s="7"/>
      <c r="B45" s="7"/>
      <c r="C45" s="7"/>
      <c r="D45" s="7"/>
      <c r="E45" s="7"/>
      <c r="F45" s="7"/>
      <c r="G45" s="7"/>
      <c r="H45" s="7"/>
      <c r="J45" s="7"/>
      <c r="K45" s="7"/>
      <c r="L45" s="7"/>
      <c r="M45" s="7"/>
    </row>
    <row r="46" spans="1:13" x14ac:dyDescent="0.25">
      <c r="A46" s="7"/>
      <c r="B46" s="7"/>
      <c r="C46" s="7"/>
      <c r="D46" s="7"/>
      <c r="E46" s="7"/>
      <c r="F46" s="7"/>
      <c r="G46" s="7"/>
      <c r="H46" s="7"/>
      <c r="J46" s="7"/>
      <c r="K46" s="7"/>
      <c r="L46" s="7"/>
      <c r="M46" s="7"/>
    </row>
    <row r="47" spans="1:13" x14ac:dyDescent="0.25">
      <c r="A47" s="7"/>
      <c r="B47" s="7"/>
      <c r="C47" s="7"/>
      <c r="D47" s="7"/>
      <c r="E47" s="7"/>
      <c r="F47" s="7"/>
      <c r="G47" s="7"/>
      <c r="H47" s="7"/>
      <c r="J47" s="7"/>
      <c r="K47" s="7"/>
      <c r="L47" s="7"/>
      <c r="M47" s="7"/>
    </row>
    <row r="48" spans="1:13" x14ac:dyDescent="0.25">
      <c r="A48" s="7"/>
      <c r="B48" s="7"/>
      <c r="C48" s="7"/>
      <c r="D48" s="7"/>
      <c r="E48" s="7"/>
      <c r="F48" s="7"/>
      <c r="G48" s="7"/>
      <c r="H48" s="7"/>
      <c r="J48" s="7"/>
      <c r="K48" s="7"/>
      <c r="L48" s="7"/>
      <c r="M48" s="7"/>
    </row>
    <row r="49" spans="1:13" s="13" customFormat="1" ht="14.25" x14ac:dyDescent="0.25">
      <c r="A49" s="25"/>
      <c r="B49" s="25"/>
      <c r="C49" s="25"/>
      <c r="D49" s="25"/>
      <c r="E49" s="25"/>
      <c r="F49" s="25"/>
      <c r="G49" s="25"/>
      <c r="H49" s="25"/>
      <c r="J49" s="25"/>
      <c r="K49" s="25"/>
      <c r="L49" s="25"/>
      <c r="M49" s="25"/>
    </row>
    <row r="50" spans="1:13" x14ac:dyDescent="0.2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</row>
    <row r="51" spans="1:13" x14ac:dyDescent="0.2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</row>
    <row r="56" spans="1:13" x14ac:dyDescent="0.25">
      <c r="C56" s="33"/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1_INPUT_DATA</vt:lpstr>
      <vt:lpstr>2_COST_BREAKDOWN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2026-08-14T03:02:33Z</dcterms:created>
  <dcterms:modified xsi:type="dcterms:W3CDTF">2026-08-14T10:13:41Z</dcterms:modified>
  <cp:category/>
</cp:coreProperties>
</file>